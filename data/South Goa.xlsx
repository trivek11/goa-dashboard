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rivek\PycharmProjects\goa_dashboard\data\"/>
    </mc:Choice>
  </mc:AlternateContent>
  <xr:revisionPtr revIDLastSave="0" documentId="13_ncr:1_{C61F9B9F-873C-4737-B905-9D7C46AF815C}" xr6:coauthVersionLast="47" xr6:coauthVersionMax="47" xr10:uidLastSave="{00000000-0000-0000-0000-000000000000}"/>
  <bookViews>
    <workbookView xWindow="-108" yWindow="-108" windowWidth="23256" windowHeight="13896" tabRatio="890" xr2:uid="{00000000-000D-0000-FFFF-FFFF00000000}"/>
  </bookViews>
  <sheets>
    <sheet name="South Goa" sheetId="1" r:id="rId1"/>
    <sheet name="Mormugao" sheetId="2" r:id="rId2"/>
    <sheet name="Ponda" sheetId="6" r:id="rId3"/>
    <sheet name="Quepem" sheetId="7" r:id="rId4"/>
    <sheet name="Margao" sheetId="3" r:id="rId5"/>
    <sheet name="Sanguem" sheetId="11" r:id="rId6"/>
    <sheet name="Curchorem-Cacora" sheetId="10" r:id="rId7"/>
    <sheet name="Canacona" sheetId="9" r:id="rId8"/>
    <sheet name="Cuncolim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1" l="1"/>
  <c r="L9" i="1"/>
  <c r="J9" i="1"/>
  <c r="I9" i="1"/>
  <c r="L8" i="1"/>
  <c r="J8" i="1"/>
  <c r="I8" i="1"/>
  <c r="L7" i="1"/>
  <c r="J7" i="1"/>
  <c r="I7" i="1"/>
  <c r="L6" i="1"/>
  <c r="J6" i="1"/>
  <c r="I6" i="1"/>
  <c r="L5" i="1"/>
  <c r="J5" i="1"/>
  <c r="I5" i="1"/>
  <c r="L4" i="1"/>
  <c r="J4" i="1"/>
  <c r="I4" i="1"/>
  <c r="I10" i="1"/>
  <c r="N10" i="1"/>
  <c r="K3" i="1"/>
  <c r="K5" i="1"/>
  <c r="K7" i="1"/>
  <c r="K9" i="1"/>
  <c r="L3" i="1"/>
  <c r="J3" i="1"/>
  <c r="I3" i="1"/>
  <c r="K2" i="1"/>
  <c r="L2" i="1"/>
  <c r="J2" i="1"/>
  <c r="I2" i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" i="2"/>
  <c r="H3" i="11"/>
  <c r="H4" i="11"/>
  <c r="H5" i="11"/>
  <c r="H6" i="11"/>
  <c r="H7" i="11"/>
  <c r="H8" i="11"/>
  <c r="H9" i="11"/>
  <c r="H10" i="11"/>
  <c r="H11" i="11"/>
  <c r="H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2" i="10"/>
  <c r="H3" i="9"/>
  <c r="H4" i="9"/>
  <c r="H5" i="9"/>
  <c r="H6" i="9"/>
  <c r="H7" i="9"/>
  <c r="H8" i="9"/>
  <c r="H9" i="9"/>
  <c r="H10" i="9"/>
  <c r="H11" i="9"/>
  <c r="H12" i="9"/>
  <c r="H13" i="9"/>
  <c r="H2" i="9"/>
  <c r="H3" i="8"/>
  <c r="H4" i="8"/>
  <c r="H5" i="8"/>
  <c r="H6" i="8"/>
  <c r="H7" i="8"/>
  <c r="H8" i="8"/>
  <c r="H9" i="8"/>
  <c r="H10" i="8"/>
  <c r="H11" i="8"/>
  <c r="H12" i="8"/>
  <c r="H13" i="8"/>
  <c r="H14" i="8"/>
  <c r="H15" i="8"/>
  <c r="H2" i="8"/>
  <c r="K8" i="1" l="1"/>
  <c r="L10" i="1"/>
  <c r="K6" i="1"/>
  <c r="K4" i="1"/>
  <c r="K10" i="1" s="1"/>
  <c r="J10" i="1"/>
  <c r="H3" i="7"/>
  <c r="H4" i="7"/>
  <c r="H5" i="7"/>
  <c r="H6" i="7"/>
  <c r="H7" i="7"/>
  <c r="H8" i="7"/>
  <c r="H9" i="7"/>
  <c r="H10" i="7"/>
  <c r="H11" i="7"/>
  <c r="H12" i="7"/>
  <c r="H13" i="7"/>
  <c r="H14" i="7"/>
  <c r="H2" i="7"/>
  <c r="H2" i="6"/>
  <c r="H3" i="6"/>
  <c r="H5" i="6"/>
  <c r="H6" i="6"/>
  <c r="H7" i="6"/>
  <c r="H8" i="6"/>
  <c r="H9" i="6"/>
  <c r="H10" i="6"/>
  <c r="H11" i="6"/>
  <c r="H12" i="6"/>
  <c r="H13" i="6"/>
  <c r="H14" i="6"/>
  <c r="H15" i="6"/>
  <c r="H16" i="6"/>
  <c r="H4" i="6"/>
  <c r="H10" i="1"/>
  <c r="M7" i="1" l="1"/>
  <c r="M5" i="1"/>
  <c r="M3" i="1"/>
  <c r="M4" i="1"/>
  <c r="M8" i="1"/>
  <c r="O5" i="1"/>
  <c r="O4" i="1"/>
  <c r="O3" i="1"/>
  <c r="M9" i="1"/>
  <c r="O7" i="1"/>
  <c r="O8" i="1"/>
  <c r="O9" i="1"/>
  <c r="O6" i="1"/>
  <c r="O2" i="1"/>
  <c r="M2" i="1" l="1"/>
  <c r="M6" i="1"/>
  <c r="M10" i="1" s="1"/>
</calcChain>
</file>

<file path=xl/sharedStrings.xml><?xml version="1.0" encoding="utf-8"?>
<sst xmlns="http://schemas.openxmlformats.org/spreadsheetml/2006/main" count="679" uniqueCount="68">
  <si>
    <t>Ward Boundary Mapping</t>
  </si>
  <si>
    <t>Completed</t>
  </si>
  <si>
    <t>Digitlisation Of Polygon</t>
  </si>
  <si>
    <t>Generation of UPIC Number</t>
  </si>
  <si>
    <t>District</t>
  </si>
  <si>
    <t>Sr. No</t>
  </si>
  <si>
    <t>Council</t>
  </si>
  <si>
    <t>Order Issue Date</t>
  </si>
  <si>
    <t>Kolbro Representative</t>
  </si>
  <si>
    <t>Work Status</t>
  </si>
  <si>
    <t>Mormugao</t>
  </si>
  <si>
    <t>Ponda</t>
  </si>
  <si>
    <t>Quepem</t>
  </si>
  <si>
    <t>Margao</t>
  </si>
  <si>
    <t>Sanguem</t>
  </si>
  <si>
    <t>Curchorem- Cacora</t>
  </si>
  <si>
    <t>Canacona</t>
  </si>
  <si>
    <t>Cuncolim</t>
  </si>
  <si>
    <t>TOTAL</t>
  </si>
  <si>
    <t>Sr No.</t>
  </si>
  <si>
    <t>Ward No</t>
  </si>
  <si>
    <t>UPIC</t>
  </si>
  <si>
    <t>Remark</t>
  </si>
  <si>
    <t>Property numbering work is going on (UPIC)</t>
  </si>
  <si>
    <t>Numbering work is completed &amp; Survey work is going on</t>
  </si>
  <si>
    <t xml:space="preserve">  Sr. No</t>
  </si>
  <si>
    <t>Sr No</t>
  </si>
  <si>
    <t>Numbering Completed &amp; Survey work is going on</t>
  </si>
  <si>
    <t>Numbering &amp; Survey work is going on</t>
  </si>
  <si>
    <t xml:space="preserve">Numbering &amp; Survey  is Completed </t>
  </si>
  <si>
    <t>Assessment register submitted to council for Validation</t>
  </si>
  <si>
    <t>11 ward assessment registers are submitted to council for validation</t>
  </si>
  <si>
    <t>Completed % of Registered Unit</t>
  </si>
  <si>
    <t>NIC Record Property</t>
  </si>
  <si>
    <t>Kartik Bisen</t>
  </si>
  <si>
    <t>Numbering completed &amp; Survey work is going on</t>
  </si>
  <si>
    <t>`</t>
  </si>
  <si>
    <t>Tekeshwar Chaudhari</t>
  </si>
  <si>
    <t>Prashant Lakde</t>
  </si>
  <si>
    <t>16 ward assessment registers are submitted to council for validation</t>
  </si>
  <si>
    <t>6 ward assessment registers are submitted to council for validation</t>
  </si>
  <si>
    <t>Property survey work is going on</t>
  </si>
  <si>
    <t>Nikesh Dondi+Ashish K.</t>
  </si>
  <si>
    <t>Rahul Musale + Yogesh Hatekar</t>
  </si>
  <si>
    <t>Sunil Dumane</t>
  </si>
  <si>
    <t>Madhav K. +Parvat T. + Praksh S.</t>
  </si>
  <si>
    <t>Dinesh Bopche + Akshay B.</t>
  </si>
  <si>
    <t>Numbering and Survey Completed &amp; Revisit of door lock properties going on</t>
  </si>
  <si>
    <t>Survey Completed &amp; Revisit of door lock properties going on</t>
  </si>
  <si>
    <t>Property numbering &amp; Survey work is going on (UPIC)</t>
  </si>
  <si>
    <t>Total Survey</t>
  </si>
  <si>
    <t>NIC Property</t>
  </si>
  <si>
    <t>Suspected New</t>
  </si>
  <si>
    <t>Remaining Survey</t>
  </si>
  <si>
    <t>Revisit of door locked properties is going on</t>
  </si>
  <si>
    <t>South Goa</t>
  </si>
  <si>
    <t>GIS Link</t>
  </si>
  <si>
    <t>https://www.google.com/maps/d/u/0/edit?mid=1OoJDJWYrLoM_04i1zQ9GnlfwCSnYoMw&amp;usp=sharing</t>
  </si>
  <si>
    <t>https://www.google.com/maps/d/u/0/edit?mid=1MlDbm3RMj5m2n2z2dzAuj8p382jbyas&amp;usp=sharing</t>
  </si>
  <si>
    <t>https://www.google.com/maps/d/u/0/edit?mid=10Ri7WIFDr-ZZ79tw6H6Mr_aGpDjOwbs&amp;usp=sharing</t>
  </si>
  <si>
    <t>https://www.google.com/maps/d/u/0/edit?mid=1j2yKe4iTj4hZUwS0E0ohXjkbmCp5rQo&amp;usp=sharing</t>
  </si>
  <si>
    <t>https://www.google.com/maps/d/u/0/edit?mid=1mMphf7DexdHIE-11vv-VVQTv0Oup3iU&amp;usp=sharing</t>
  </si>
  <si>
    <t>https://www.google.com/maps/d/u/0/edit?mid=1JvMNmQrAK9ba17EG1VYHsRPb8ci-Uao&amp;usp=sharing</t>
  </si>
  <si>
    <t>https://www.google.com/maps/d/u/0/edit?mid=1l1KsPVAtbhr0CT0RVfSAaiH38QFepto&amp;usp=sharing</t>
  </si>
  <si>
    <t>https://www.google.com/maps/d/u/0/edit?mid=1zqCDRhTeoiu5Ue0FM3cobrsZ0l3-558&amp;usp=sharing</t>
  </si>
  <si>
    <t>4 ward assessment registers are submitted to council for validation</t>
  </si>
  <si>
    <t>15 ward assessment registers are submitted to council for validation</t>
  </si>
  <si>
    <t>9 ward assessment registers are submitted to council for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</si>
</sst>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1" x14ac:knownFonts="1">
    <font>
      <sz val="10"/>
      <color rgb="FF000000"/>
      <name val="Times New Roman"/>
      <charset val="204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1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 shrinkToFit="1"/>
    </xf>
    <xf numFmtId="164" fontId="2" fillId="0" borderId="1" xfId="0" applyNumberFormat="1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1" fontId="4" fillId="0" borderId="1" xfId="0" applyNumberFormat="1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0"/>
  <sheetViews>
    <sheetView tabSelected="1" zoomScale="70" zoomScaleNormal="70" workbookViewId="0">
      <selection activeCell="J10" sqref="J10"/>
    </sheetView>
  </sheetViews>
  <sheetFormatPr defaultRowHeight="13.2" x14ac:dyDescent="0.25"/>
  <cols>
    <col min="1" max="1" width="4.21875" customWidth="1"/>
    <col min="2" max="2" width="9.44140625" customWidth="1"/>
    <col min="3" max="3" width="12.21875" customWidth="1"/>
    <col min="4" max="4" width="14.109375" customWidth="1"/>
    <col min="5" max="5" width="11.88671875" customWidth="1"/>
    <col min="6" max="6" width="15.109375" customWidth="1"/>
    <col min="7" max="7" width="13.44140625" customWidth="1"/>
    <col min="8" max="8" width="10.77734375" bestFit="1" customWidth="1"/>
    <col min="9" max="9" width="17.6640625" customWidth="1"/>
    <col min="10" max="10" width="11.109375" customWidth="1"/>
    <col min="11" max="11" width="13.44140625" bestFit="1" customWidth="1"/>
    <col min="12" max="12" width="11" bestFit="1" customWidth="1"/>
    <col min="13" max="13" width="12.77734375" bestFit="1" customWidth="1"/>
    <col min="14" max="14" width="20.77734375" customWidth="1"/>
    <col min="15" max="15" width="15.88671875" customWidth="1"/>
    <col min="16" max="16" width="27.44140625" customWidth="1"/>
    <col min="17" max="17" width="25.77734375" customWidth="1"/>
  </cols>
  <sheetData>
    <row r="1" spans="1:17" s="21" customFormat="1" ht="55.05" customHeight="1" x14ac:dyDescent="0.25">
      <c r="A1" s="3" t="s">
        <v>5</v>
      </c>
      <c r="B1" s="3" t="s">
        <v>4</v>
      </c>
      <c r="C1" s="3" t="s">
        <v>6</v>
      </c>
      <c r="D1" s="3" t="s">
        <v>7</v>
      </c>
      <c r="E1" s="3" t="s">
        <v>0</v>
      </c>
      <c r="F1" s="3" t="s">
        <v>2</v>
      </c>
      <c r="G1" s="3" t="s">
        <v>3</v>
      </c>
      <c r="H1" s="3" t="s">
        <v>33</v>
      </c>
      <c r="I1" s="3" t="s">
        <v>21</v>
      </c>
      <c r="J1" s="3" t="s">
        <v>51</v>
      </c>
      <c r="K1" s="3" t="s">
        <v>52</v>
      </c>
      <c r="L1" s="25" t="s">
        <v>50</v>
      </c>
      <c r="M1" s="3" t="s">
        <v>53</v>
      </c>
      <c r="N1" s="3" t="s">
        <v>8</v>
      </c>
      <c r="O1" s="3" t="s">
        <v>32</v>
      </c>
      <c r="P1" s="3" t="s">
        <v>9</v>
      </c>
      <c r="Q1" s="7" t="s">
        <v>56</v>
      </c>
    </row>
    <row r="2" spans="1:17" ht="55.05" customHeight="1" x14ac:dyDescent="0.25">
      <c r="A2" s="28">
        <v>1</v>
      </c>
      <c r="B2" s="26" t="s">
        <v>55</v>
      </c>
      <c r="C2" s="26" t="s">
        <v>10</v>
      </c>
      <c r="D2" s="29">
        <v>45503</v>
      </c>
      <c r="E2" s="29" t="s">
        <v>1</v>
      </c>
      <c r="F2" s="29" t="s">
        <v>1</v>
      </c>
      <c r="G2" s="29" t="s">
        <v>1</v>
      </c>
      <c r="H2" s="30">
        <v>33479</v>
      </c>
      <c r="I2" s="5">
        <f>SUM(Mormugao!F2:F26)</f>
        <v>35698</v>
      </c>
      <c r="J2" s="5">
        <f>SUM(Mormugao!G2:G26)</f>
        <v>25474</v>
      </c>
      <c r="K2" s="5">
        <f>L2-J2</f>
        <v>7725</v>
      </c>
      <c r="L2" s="5">
        <f>SUM(Mormugao!I2:I26)</f>
        <v>33199</v>
      </c>
      <c r="M2" s="5">
        <f t="shared" ref="M2:M10" si="0">I2-L2</f>
        <v>2499</v>
      </c>
      <c r="N2" s="26" t="s">
        <v>45</v>
      </c>
      <c r="O2" s="28">
        <f t="shared" ref="O2:O10" si="1">ROUND(L2/I2*100, 0)</f>
        <v>93</v>
      </c>
      <c r="P2" s="26" t="s">
        <v>39</v>
      </c>
      <c r="Q2" s="12" t="s">
        <v>58</v>
      </c>
    </row>
    <row r="3" spans="1:17" ht="55.05" customHeight="1" x14ac:dyDescent="0.25">
      <c r="A3" s="28">
        <v>2</v>
      </c>
      <c r="B3" s="26" t="s">
        <v>55</v>
      </c>
      <c r="C3" s="26" t="s">
        <v>11</v>
      </c>
      <c r="D3" s="29">
        <v>45559</v>
      </c>
      <c r="E3" s="29" t="s">
        <v>1</v>
      </c>
      <c r="F3" s="29" t="s">
        <v>1</v>
      </c>
      <c r="G3" s="29" t="s">
        <v>1</v>
      </c>
      <c r="H3" s="30">
        <v>13251</v>
      </c>
      <c r="I3" s="5">
        <f>SUM(Ponda!F2:F16)</f>
        <v>15192</v>
      </c>
      <c r="J3" s="5">
        <f>SUM(Ponda!G2:G16)</f>
        <v>12149</v>
      </c>
      <c r="K3" s="5">
        <f t="shared" ref="K3:K10" si="2">L3-J3</f>
        <v>2125</v>
      </c>
      <c r="L3" s="5">
        <f>SUM(Ponda!I2:I16)</f>
        <v>14274</v>
      </c>
      <c r="M3" s="5">
        <f t="shared" si="0"/>
        <v>918</v>
      </c>
      <c r="N3" s="26" t="s">
        <v>46</v>
      </c>
      <c r="O3" s="28">
        <f t="shared" si="1"/>
        <v>94</v>
      </c>
      <c r="P3" s="26" t="s">
        <v>31</v>
      </c>
      <c r="Q3" s="12" t="s">
        <v>64</v>
      </c>
    </row>
    <row r="4" spans="1:17" ht="55.05" customHeight="1" x14ac:dyDescent="0.25">
      <c r="A4" s="28">
        <v>3</v>
      </c>
      <c r="B4" s="26" t="s">
        <v>55</v>
      </c>
      <c r="C4" s="26" t="s">
        <v>12</v>
      </c>
      <c r="D4" s="29">
        <v>45530</v>
      </c>
      <c r="E4" s="29" t="s">
        <v>1</v>
      </c>
      <c r="F4" s="29" t="s">
        <v>1</v>
      </c>
      <c r="G4" s="29" t="s">
        <v>1</v>
      </c>
      <c r="H4" s="30">
        <v>5908</v>
      </c>
      <c r="I4" s="5">
        <f>SUM(Quepem!F2:F14)</f>
        <v>7186</v>
      </c>
      <c r="J4" s="5">
        <f>SUM(Quepem!G2:G14)</f>
        <v>5610</v>
      </c>
      <c r="K4" s="5">
        <f t="shared" si="2"/>
        <v>980</v>
      </c>
      <c r="L4" s="5">
        <f>SUM(Quepem!I2:I14)</f>
        <v>6590</v>
      </c>
      <c r="M4" s="5">
        <f t="shared" si="0"/>
        <v>596</v>
      </c>
      <c r="N4" s="26" t="s">
        <v>38</v>
      </c>
      <c r="O4" s="28">
        <f t="shared" si="1"/>
        <v>92</v>
      </c>
      <c r="P4" s="26" t="s">
        <v>65</v>
      </c>
      <c r="Q4" s="12" t="s">
        <v>61</v>
      </c>
    </row>
    <row r="5" spans="1:17" ht="55.05" customHeight="1" x14ac:dyDescent="0.25">
      <c r="A5" s="28">
        <v>4</v>
      </c>
      <c r="B5" s="26" t="s">
        <v>55</v>
      </c>
      <c r="C5" s="26" t="s">
        <v>13</v>
      </c>
      <c r="D5" s="29">
        <v>45576</v>
      </c>
      <c r="E5" s="29" t="s">
        <v>1</v>
      </c>
      <c r="F5" s="29" t="s">
        <v>1</v>
      </c>
      <c r="G5" s="29" t="s">
        <v>1</v>
      </c>
      <c r="H5" s="30">
        <v>58975</v>
      </c>
      <c r="I5" s="5">
        <f>SUM(Margao!F2:F26)</f>
        <v>66193</v>
      </c>
      <c r="J5" s="5">
        <f>SUM(Margao!G2:G26)</f>
        <v>51053</v>
      </c>
      <c r="K5" s="5">
        <f t="shared" si="2"/>
        <v>9950</v>
      </c>
      <c r="L5" s="5">
        <f>SUM(Margao!I2:I26)</f>
        <v>61003</v>
      </c>
      <c r="M5" s="5">
        <f t="shared" si="0"/>
        <v>5190</v>
      </c>
      <c r="N5" s="26" t="s">
        <v>42</v>
      </c>
      <c r="O5" s="28">
        <f t="shared" si="1"/>
        <v>92</v>
      </c>
      <c r="P5" s="26" t="s">
        <v>66</v>
      </c>
      <c r="Q5" s="12" t="s">
        <v>57</v>
      </c>
    </row>
    <row r="6" spans="1:17" ht="55.05" customHeight="1" x14ac:dyDescent="0.25">
      <c r="A6" s="28">
        <v>5</v>
      </c>
      <c r="B6" s="26" t="s">
        <v>55</v>
      </c>
      <c r="C6" s="26" t="s">
        <v>14</v>
      </c>
      <c r="D6" s="29">
        <v>45618</v>
      </c>
      <c r="E6" s="29" t="s">
        <v>1</v>
      </c>
      <c r="F6" s="29" t="s">
        <v>1</v>
      </c>
      <c r="G6" s="29" t="s">
        <v>1</v>
      </c>
      <c r="H6" s="30">
        <v>1855</v>
      </c>
      <c r="I6" s="5">
        <f>SUM(Sanguem!F2:F11)</f>
        <v>2586</v>
      </c>
      <c r="J6" s="5">
        <f>SUM(Sanguem!G2:G11)</f>
        <v>1730</v>
      </c>
      <c r="K6" s="5">
        <f t="shared" si="2"/>
        <v>656</v>
      </c>
      <c r="L6" s="5">
        <f>SUM(Sanguem!I2:I11)</f>
        <v>2386</v>
      </c>
      <c r="M6" s="5">
        <f t="shared" si="0"/>
        <v>200</v>
      </c>
      <c r="N6" s="26" t="s">
        <v>37</v>
      </c>
      <c r="O6" s="28">
        <f t="shared" si="1"/>
        <v>92</v>
      </c>
      <c r="P6" s="26" t="s">
        <v>40</v>
      </c>
      <c r="Q6" s="12" t="s">
        <v>60</v>
      </c>
    </row>
    <row r="7" spans="1:17" ht="55.05" customHeight="1" x14ac:dyDescent="0.25">
      <c r="A7" s="28">
        <v>6</v>
      </c>
      <c r="B7" s="26" t="s">
        <v>55</v>
      </c>
      <c r="C7" s="26" t="s">
        <v>15</v>
      </c>
      <c r="D7" s="29">
        <v>45630</v>
      </c>
      <c r="E7" s="29" t="s">
        <v>1</v>
      </c>
      <c r="F7" s="29" t="s">
        <v>1</v>
      </c>
      <c r="G7" s="29" t="s">
        <v>1</v>
      </c>
      <c r="H7" s="30">
        <v>7775</v>
      </c>
      <c r="I7" s="5">
        <f>SUM('Curchorem-Cacora'!F2:F16)</f>
        <v>8819</v>
      </c>
      <c r="J7" s="5">
        <f>SUM('Curchorem-Cacora'!G2:G16)</f>
        <v>5096</v>
      </c>
      <c r="K7" s="5">
        <f t="shared" si="2"/>
        <v>1248</v>
      </c>
      <c r="L7" s="5">
        <f>SUM('Curchorem-Cacora'!I2:I16)</f>
        <v>6344</v>
      </c>
      <c r="M7" s="5">
        <f t="shared" si="0"/>
        <v>2475</v>
      </c>
      <c r="N7" s="26" t="s">
        <v>43</v>
      </c>
      <c r="O7" s="28">
        <f t="shared" si="1"/>
        <v>72</v>
      </c>
      <c r="P7" s="26" t="s">
        <v>54</v>
      </c>
      <c r="Q7" s="12" t="s">
        <v>63</v>
      </c>
    </row>
    <row r="8" spans="1:17" ht="55.05" customHeight="1" x14ac:dyDescent="0.25">
      <c r="A8" s="28">
        <v>7</v>
      </c>
      <c r="B8" s="26" t="s">
        <v>55</v>
      </c>
      <c r="C8" s="26" t="s">
        <v>16</v>
      </c>
      <c r="D8" s="29">
        <v>45625</v>
      </c>
      <c r="E8" s="29" t="s">
        <v>1</v>
      </c>
      <c r="F8" s="29" t="s">
        <v>1</v>
      </c>
      <c r="G8" s="29" t="s">
        <v>1</v>
      </c>
      <c r="H8" s="30">
        <v>5879</v>
      </c>
      <c r="I8" s="5">
        <f>SUM(Canacona!F2:F13)</f>
        <v>7159</v>
      </c>
      <c r="J8" s="5">
        <f>SUM(Canacona!G2:G13)</f>
        <v>5481</v>
      </c>
      <c r="K8" s="5">
        <f t="shared" si="2"/>
        <v>1135</v>
      </c>
      <c r="L8" s="5">
        <f>SUM(Canacona!I2:I13)</f>
        <v>6616</v>
      </c>
      <c r="M8" s="5">
        <f t="shared" si="0"/>
        <v>543</v>
      </c>
      <c r="N8" s="5" t="s">
        <v>34</v>
      </c>
      <c r="O8" s="28">
        <f t="shared" si="1"/>
        <v>92</v>
      </c>
      <c r="P8" s="26" t="s">
        <v>67</v>
      </c>
      <c r="Q8" s="12" t="s">
        <v>62</v>
      </c>
    </row>
    <row r="9" spans="1:17" ht="55.05" customHeight="1" x14ac:dyDescent="0.25">
      <c r="A9" s="28">
        <v>8</v>
      </c>
      <c r="B9" s="26" t="s">
        <v>55</v>
      </c>
      <c r="C9" s="26" t="s">
        <v>17</v>
      </c>
      <c r="D9" s="27">
        <v>45664</v>
      </c>
      <c r="E9" s="29" t="s">
        <v>1</v>
      </c>
      <c r="F9" s="29" t="s">
        <v>1</v>
      </c>
      <c r="G9" s="29" t="s">
        <v>1</v>
      </c>
      <c r="H9" s="26">
        <v>6671</v>
      </c>
      <c r="I9" s="5">
        <f>SUM(Cuncolim!F2:F15)</f>
        <v>7713</v>
      </c>
      <c r="J9" s="5">
        <f>SUM(Cuncolim!G2:G15)</f>
        <v>5699</v>
      </c>
      <c r="K9" s="5">
        <f t="shared" si="2"/>
        <v>1169</v>
      </c>
      <c r="L9" s="5">
        <f>SUM(Cuncolim!I2:I15)</f>
        <v>6868</v>
      </c>
      <c r="M9" s="5">
        <f t="shared" si="0"/>
        <v>845</v>
      </c>
      <c r="N9" s="26" t="s">
        <v>44</v>
      </c>
      <c r="O9" s="28">
        <f t="shared" si="1"/>
        <v>89</v>
      </c>
      <c r="P9" s="26" t="s">
        <v>40</v>
      </c>
      <c r="Q9" s="12" t="s">
        <v>59</v>
      </c>
    </row>
    <row r="10" spans="1:17" ht="51.45" customHeight="1" x14ac:dyDescent="0.25">
      <c r="A10" s="32" t="s">
        <v>18</v>
      </c>
      <c r="B10" s="32"/>
      <c r="C10" s="32"/>
      <c r="D10" s="32"/>
      <c r="E10" s="32"/>
      <c r="F10" s="32"/>
      <c r="G10" s="32"/>
      <c r="H10" s="31">
        <f t="shared" ref="H10:O10" si="3">SUM(H2:H9)</f>
        <v>133793</v>
      </c>
      <c r="I10" s="31">
        <f t="shared" si="3"/>
        <v>150546</v>
      </c>
      <c r="J10" s="31">
        <f t="shared" si="3"/>
        <v>112292</v>
      </c>
      <c r="K10" s="31">
        <f t="shared" si="3"/>
        <v>24988</v>
      </c>
      <c r="L10" s="31">
        <f t="shared" si="3"/>
        <v>137280</v>
      </c>
      <c r="M10" s="31">
        <f t="shared" si="3"/>
        <v>13266</v>
      </c>
      <c r="N10" s="31">
        <f t="shared" si="3"/>
        <v>0</v>
      </c>
      <c r="O10" s="28">
        <f t="shared" si="1"/>
        <v>91</v>
      </c>
      <c r="P10" s="5"/>
      <c r="Q10" s="12"/>
    </row>
  </sheetData>
  <mergeCells count="1">
    <mergeCell ref="A10:G10"/>
  </mergeCells>
  <pageMargins left="0.15748031496062992" right="0.15748031496062992" top="0.15748031496062992" bottom="0.15748031496062992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0ED1-8883-4E99-AC12-9D58D85FAA33}">
  <sheetPr codeName="Sheet2"/>
  <dimension ref="A1:J26"/>
  <sheetViews>
    <sheetView topLeftCell="A14" workbookViewId="0">
      <selection activeCell="L24" sqref="L24"/>
    </sheetView>
  </sheetViews>
  <sheetFormatPr defaultRowHeight="13.2" x14ac:dyDescent="0.25"/>
  <cols>
    <col min="3" max="3" width="16.109375" customWidth="1"/>
    <col min="4" max="5" width="15.6640625" customWidth="1"/>
    <col min="6" max="6" width="9.33203125" customWidth="1"/>
    <col min="7" max="7" width="10.44140625" customWidth="1"/>
    <col min="8" max="8" width="10.5546875" customWidth="1"/>
    <col min="9" max="9" width="10.21875" customWidth="1"/>
    <col min="10" max="10" width="35.21875" customWidth="1"/>
  </cols>
  <sheetData>
    <row r="1" spans="1:10" ht="34.049999999999997" customHeight="1" x14ac:dyDescent="0.25">
      <c r="A1" s="6" t="s">
        <v>19</v>
      </c>
      <c r="B1" s="6" t="s">
        <v>20</v>
      </c>
      <c r="C1" s="6" t="s">
        <v>0</v>
      </c>
      <c r="D1" s="6" t="s">
        <v>2</v>
      </c>
      <c r="E1" s="6" t="s">
        <v>3</v>
      </c>
      <c r="F1" s="6" t="s">
        <v>21</v>
      </c>
      <c r="G1" s="25" t="s">
        <v>51</v>
      </c>
      <c r="H1" s="25" t="s">
        <v>52</v>
      </c>
      <c r="I1" s="25" t="s">
        <v>50</v>
      </c>
      <c r="J1" s="6" t="s">
        <v>22</v>
      </c>
    </row>
    <row r="2" spans="1:10" ht="34.049999999999997" customHeight="1" x14ac:dyDescent="0.25">
      <c r="A2" s="2">
        <v>1</v>
      </c>
      <c r="B2" s="2">
        <v>1</v>
      </c>
      <c r="C2" s="2" t="s">
        <v>1</v>
      </c>
      <c r="D2" s="2" t="s">
        <v>1</v>
      </c>
      <c r="E2" s="2" t="s">
        <v>1</v>
      </c>
      <c r="F2" s="1">
        <v>2123</v>
      </c>
      <c r="G2" s="1">
        <v>1512</v>
      </c>
      <c r="H2" s="1">
        <f>I2-G2</f>
        <v>256</v>
      </c>
      <c r="I2" s="1">
        <v>1768</v>
      </c>
      <c r="J2" s="1" t="s">
        <v>28</v>
      </c>
    </row>
    <row r="3" spans="1:10" ht="34.049999999999997" customHeight="1" x14ac:dyDescent="0.25">
      <c r="A3" s="2">
        <v>2</v>
      </c>
      <c r="B3" s="2">
        <v>2</v>
      </c>
      <c r="C3" s="2" t="s">
        <v>1</v>
      </c>
      <c r="D3" s="2" t="s">
        <v>1</v>
      </c>
      <c r="E3" s="2" t="s">
        <v>1</v>
      </c>
      <c r="F3" s="1">
        <v>1322</v>
      </c>
      <c r="G3" s="1">
        <v>222</v>
      </c>
      <c r="H3" s="1">
        <f t="shared" ref="H3:H26" si="0">I3-G3</f>
        <v>45</v>
      </c>
      <c r="I3" s="1">
        <v>267</v>
      </c>
      <c r="J3" s="2" t="s">
        <v>23</v>
      </c>
    </row>
    <row r="4" spans="1:10" ht="34.049999999999997" customHeight="1" x14ac:dyDescent="0.25">
      <c r="A4" s="2">
        <v>3</v>
      </c>
      <c r="B4" s="2">
        <v>3</v>
      </c>
      <c r="C4" s="2" t="s">
        <v>1</v>
      </c>
      <c r="D4" s="2" t="s">
        <v>1</v>
      </c>
      <c r="E4" s="2" t="s">
        <v>1</v>
      </c>
      <c r="F4" s="1">
        <v>988</v>
      </c>
      <c r="G4" s="1">
        <v>133</v>
      </c>
      <c r="H4" s="1">
        <f t="shared" si="0"/>
        <v>1</v>
      </c>
      <c r="I4" s="1">
        <v>134</v>
      </c>
      <c r="J4" s="2" t="s">
        <v>23</v>
      </c>
    </row>
    <row r="5" spans="1:10" ht="34.049999999999997" customHeight="1" x14ac:dyDescent="0.25">
      <c r="A5" s="2">
        <v>4</v>
      </c>
      <c r="B5" s="2">
        <v>4</v>
      </c>
      <c r="C5" s="2" t="s">
        <v>1</v>
      </c>
      <c r="D5" s="2" t="s">
        <v>1</v>
      </c>
      <c r="E5" s="2" t="s">
        <v>1</v>
      </c>
      <c r="F5" s="1">
        <v>2027</v>
      </c>
      <c r="G5" s="1">
        <v>1433</v>
      </c>
      <c r="H5" s="1">
        <f t="shared" si="0"/>
        <v>379</v>
      </c>
      <c r="I5" s="1">
        <v>1812</v>
      </c>
      <c r="J5" s="1" t="s">
        <v>27</v>
      </c>
    </row>
    <row r="6" spans="1:10" ht="34.049999999999997" customHeight="1" x14ac:dyDescent="0.25">
      <c r="A6" s="2">
        <v>5</v>
      </c>
      <c r="B6" s="2">
        <v>5</v>
      </c>
      <c r="C6" s="2" t="s">
        <v>1</v>
      </c>
      <c r="D6" s="2" t="s">
        <v>1</v>
      </c>
      <c r="E6" s="2" t="s">
        <v>1</v>
      </c>
      <c r="F6" s="1">
        <v>1025</v>
      </c>
      <c r="G6" s="1">
        <v>687</v>
      </c>
      <c r="H6" s="1">
        <f t="shared" si="0"/>
        <v>265</v>
      </c>
      <c r="I6" s="1">
        <v>952</v>
      </c>
      <c r="J6" s="2" t="s">
        <v>30</v>
      </c>
    </row>
    <row r="7" spans="1:10" ht="34.049999999999997" customHeight="1" x14ac:dyDescent="0.25">
      <c r="A7" s="2">
        <v>6</v>
      </c>
      <c r="B7" s="2">
        <v>6</v>
      </c>
      <c r="C7" s="2" t="s">
        <v>1</v>
      </c>
      <c r="D7" s="2" t="s">
        <v>1</v>
      </c>
      <c r="E7" s="2" t="s">
        <v>1</v>
      </c>
      <c r="F7" s="1">
        <v>1006</v>
      </c>
      <c r="G7" s="1">
        <v>788</v>
      </c>
      <c r="H7" s="1">
        <f t="shared" si="0"/>
        <v>186</v>
      </c>
      <c r="I7" s="1">
        <v>974</v>
      </c>
      <c r="J7" s="1" t="s">
        <v>27</v>
      </c>
    </row>
    <row r="8" spans="1:10" ht="34.049999999999997" customHeight="1" x14ac:dyDescent="0.25">
      <c r="A8" s="2">
        <v>7</v>
      </c>
      <c r="B8" s="2">
        <v>7</v>
      </c>
      <c r="C8" s="2" t="s">
        <v>1</v>
      </c>
      <c r="D8" s="2" t="s">
        <v>1</v>
      </c>
      <c r="E8" s="2" t="s">
        <v>1</v>
      </c>
      <c r="F8" s="1">
        <v>1093</v>
      </c>
      <c r="G8" s="1">
        <v>756</v>
      </c>
      <c r="H8" s="1">
        <f t="shared" si="0"/>
        <v>304</v>
      </c>
      <c r="I8" s="1">
        <v>1060</v>
      </c>
      <c r="J8" s="2" t="s">
        <v>30</v>
      </c>
    </row>
    <row r="9" spans="1:10" ht="34.049999999999997" customHeight="1" x14ac:dyDescent="0.25">
      <c r="A9" s="2">
        <v>8</v>
      </c>
      <c r="B9" s="2">
        <v>8</v>
      </c>
      <c r="C9" s="2" t="s">
        <v>1</v>
      </c>
      <c r="D9" s="2" t="s">
        <v>1</v>
      </c>
      <c r="E9" s="2" t="s">
        <v>1</v>
      </c>
      <c r="F9" s="1">
        <v>868</v>
      </c>
      <c r="G9" s="1">
        <v>472</v>
      </c>
      <c r="H9" s="1">
        <f t="shared" si="0"/>
        <v>361</v>
      </c>
      <c r="I9" s="1">
        <v>833</v>
      </c>
      <c r="J9" s="2" t="s">
        <v>30</v>
      </c>
    </row>
    <row r="10" spans="1:10" ht="34.049999999999997" customHeight="1" x14ac:dyDescent="0.25">
      <c r="A10" s="2">
        <v>9</v>
      </c>
      <c r="B10" s="2">
        <v>9</v>
      </c>
      <c r="C10" s="2" t="s">
        <v>1</v>
      </c>
      <c r="D10" s="2" t="s">
        <v>1</v>
      </c>
      <c r="E10" s="2" t="s">
        <v>1</v>
      </c>
      <c r="F10" s="1">
        <v>632</v>
      </c>
      <c r="G10" s="1">
        <v>513</v>
      </c>
      <c r="H10" s="1">
        <f t="shared" si="0"/>
        <v>235</v>
      </c>
      <c r="I10" s="1">
        <v>748</v>
      </c>
      <c r="J10" s="2" t="s">
        <v>30</v>
      </c>
    </row>
    <row r="11" spans="1:10" ht="34.049999999999997" customHeight="1" x14ac:dyDescent="0.25">
      <c r="A11" s="2">
        <v>10</v>
      </c>
      <c r="B11" s="2">
        <v>10</v>
      </c>
      <c r="C11" s="2" t="s">
        <v>1</v>
      </c>
      <c r="D11" s="2" t="s">
        <v>1</v>
      </c>
      <c r="E11" s="2" t="s">
        <v>1</v>
      </c>
      <c r="F11" s="1">
        <v>744</v>
      </c>
      <c r="G11" s="1">
        <v>525</v>
      </c>
      <c r="H11" s="1">
        <f t="shared" si="0"/>
        <v>243</v>
      </c>
      <c r="I11" s="1">
        <v>768</v>
      </c>
      <c r="J11" s="2" t="s">
        <v>30</v>
      </c>
    </row>
    <row r="12" spans="1:10" ht="34.049999999999997" customHeight="1" x14ac:dyDescent="0.25">
      <c r="A12" s="2">
        <v>11</v>
      </c>
      <c r="B12" s="2">
        <v>11</v>
      </c>
      <c r="C12" s="2" t="s">
        <v>1</v>
      </c>
      <c r="D12" s="2" t="s">
        <v>1</v>
      </c>
      <c r="E12" s="2" t="s">
        <v>1</v>
      </c>
      <c r="F12" s="1">
        <v>957</v>
      </c>
      <c r="G12" s="1">
        <v>734</v>
      </c>
      <c r="H12" s="1">
        <f t="shared" si="0"/>
        <v>367</v>
      </c>
      <c r="I12" s="1">
        <v>1101</v>
      </c>
      <c r="J12" s="2" t="s">
        <v>30</v>
      </c>
    </row>
    <row r="13" spans="1:10" ht="34.049999999999997" customHeight="1" x14ac:dyDescent="0.25">
      <c r="A13" s="2">
        <v>12</v>
      </c>
      <c r="B13" s="2">
        <v>12</v>
      </c>
      <c r="C13" s="2" t="s">
        <v>1</v>
      </c>
      <c r="D13" s="2" t="s">
        <v>1</v>
      </c>
      <c r="E13" s="2" t="s">
        <v>1</v>
      </c>
      <c r="F13" s="1">
        <v>1703</v>
      </c>
      <c r="G13" s="1">
        <v>1345</v>
      </c>
      <c r="H13" s="1">
        <f t="shared" si="0"/>
        <v>288</v>
      </c>
      <c r="I13" s="1">
        <v>1633</v>
      </c>
      <c r="J13" s="2" t="s">
        <v>24</v>
      </c>
    </row>
    <row r="14" spans="1:10" ht="34.049999999999997" customHeight="1" x14ac:dyDescent="0.25">
      <c r="A14" s="2">
        <v>13</v>
      </c>
      <c r="B14" s="2">
        <v>13</v>
      </c>
      <c r="C14" s="2" t="s">
        <v>1</v>
      </c>
      <c r="D14" s="2" t="s">
        <v>1</v>
      </c>
      <c r="E14" s="2" t="s">
        <v>1</v>
      </c>
      <c r="F14" s="1">
        <v>4600</v>
      </c>
      <c r="G14" s="1">
        <v>3803</v>
      </c>
      <c r="H14" s="1">
        <f t="shared" si="0"/>
        <v>1331</v>
      </c>
      <c r="I14" s="1">
        <v>5134</v>
      </c>
      <c r="J14" s="2" t="s">
        <v>30</v>
      </c>
    </row>
    <row r="15" spans="1:10" ht="34.049999999999997" customHeight="1" x14ac:dyDescent="0.25">
      <c r="A15" s="2">
        <v>14</v>
      </c>
      <c r="B15" s="2">
        <v>14</v>
      </c>
      <c r="C15" s="2" t="s">
        <v>1</v>
      </c>
      <c r="D15" s="2" t="s">
        <v>1</v>
      </c>
      <c r="E15" s="2" t="s">
        <v>1</v>
      </c>
      <c r="F15" s="1">
        <v>1378</v>
      </c>
      <c r="G15" s="1">
        <v>619</v>
      </c>
      <c r="H15" s="1">
        <f t="shared" si="0"/>
        <v>257</v>
      </c>
      <c r="I15" s="1">
        <v>876</v>
      </c>
      <c r="J15" s="2" t="s">
        <v>24</v>
      </c>
    </row>
    <row r="16" spans="1:10" ht="34.049999999999997" customHeight="1" x14ac:dyDescent="0.25">
      <c r="A16" s="2">
        <v>15</v>
      </c>
      <c r="B16" s="2">
        <v>15</v>
      </c>
      <c r="C16" s="2" t="s">
        <v>1</v>
      </c>
      <c r="D16" s="2" t="s">
        <v>1</v>
      </c>
      <c r="E16" s="2" t="s">
        <v>1</v>
      </c>
      <c r="F16" s="1">
        <v>1511</v>
      </c>
      <c r="G16" s="1">
        <v>1360</v>
      </c>
      <c r="H16" s="1">
        <f t="shared" si="0"/>
        <v>311</v>
      </c>
      <c r="I16" s="1">
        <v>1671</v>
      </c>
      <c r="J16" s="2" t="s">
        <v>30</v>
      </c>
    </row>
    <row r="17" spans="1:10" ht="34.049999999999997" customHeight="1" x14ac:dyDescent="0.25">
      <c r="A17" s="2">
        <v>16</v>
      </c>
      <c r="B17" s="2">
        <v>16</v>
      </c>
      <c r="C17" s="2" t="s">
        <v>1</v>
      </c>
      <c r="D17" s="2" t="s">
        <v>1</v>
      </c>
      <c r="E17" s="2" t="s">
        <v>1</v>
      </c>
      <c r="F17" s="1">
        <v>1431</v>
      </c>
      <c r="G17" s="1">
        <v>1248</v>
      </c>
      <c r="H17" s="1">
        <f t="shared" si="0"/>
        <v>236</v>
      </c>
      <c r="I17" s="1">
        <v>1484</v>
      </c>
      <c r="J17" s="2" t="s">
        <v>30</v>
      </c>
    </row>
    <row r="18" spans="1:10" ht="34.049999999999997" customHeight="1" x14ac:dyDescent="0.25">
      <c r="A18" s="2">
        <v>17</v>
      </c>
      <c r="B18" s="2">
        <v>17</v>
      </c>
      <c r="C18" s="2" t="s">
        <v>1</v>
      </c>
      <c r="D18" s="2" t="s">
        <v>1</v>
      </c>
      <c r="E18" s="2" t="s">
        <v>1</v>
      </c>
      <c r="F18" s="1">
        <v>963</v>
      </c>
      <c r="G18" s="1">
        <v>650</v>
      </c>
      <c r="H18" s="1">
        <f t="shared" si="0"/>
        <v>419</v>
      </c>
      <c r="I18" s="1">
        <v>1069</v>
      </c>
      <c r="J18" s="2" t="s">
        <v>30</v>
      </c>
    </row>
    <row r="19" spans="1:10" ht="34.049999999999997" customHeight="1" x14ac:dyDescent="0.25">
      <c r="A19" s="2">
        <v>18</v>
      </c>
      <c r="B19" s="2">
        <v>18</v>
      </c>
      <c r="C19" s="2" t="s">
        <v>1</v>
      </c>
      <c r="D19" s="2" t="s">
        <v>1</v>
      </c>
      <c r="E19" s="2" t="s">
        <v>1</v>
      </c>
      <c r="F19" s="1">
        <v>1845</v>
      </c>
      <c r="G19" s="1">
        <v>950</v>
      </c>
      <c r="H19" s="1">
        <f t="shared" si="0"/>
        <v>263</v>
      </c>
      <c r="I19" s="1">
        <v>1213</v>
      </c>
      <c r="J19" s="2" t="s">
        <v>23</v>
      </c>
    </row>
    <row r="20" spans="1:10" ht="34.049999999999997" customHeight="1" x14ac:dyDescent="0.25">
      <c r="A20" s="2">
        <v>19</v>
      </c>
      <c r="B20" s="2">
        <v>19</v>
      </c>
      <c r="C20" s="2" t="s">
        <v>1</v>
      </c>
      <c r="D20" s="2" t="s">
        <v>1</v>
      </c>
      <c r="E20" s="2" t="s">
        <v>1</v>
      </c>
      <c r="F20" s="1">
        <v>1228</v>
      </c>
      <c r="G20" s="1">
        <v>1045</v>
      </c>
      <c r="H20" s="1">
        <f t="shared" si="0"/>
        <v>262</v>
      </c>
      <c r="I20" s="1">
        <v>1307</v>
      </c>
      <c r="J20" s="2" t="s">
        <v>30</v>
      </c>
    </row>
    <row r="21" spans="1:10" ht="34.049999999999997" customHeight="1" x14ac:dyDescent="0.25">
      <c r="A21" s="2">
        <v>20</v>
      </c>
      <c r="B21" s="2">
        <v>20</v>
      </c>
      <c r="C21" s="2" t="s">
        <v>1</v>
      </c>
      <c r="D21" s="2" t="s">
        <v>1</v>
      </c>
      <c r="E21" s="2" t="s">
        <v>1</v>
      </c>
      <c r="F21" s="1">
        <v>602</v>
      </c>
      <c r="G21" s="1">
        <v>581</v>
      </c>
      <c r="H21" s="1">
        <f t="shared" si="0"/>
        <v>98</v>
      </c>
      <c r="I21" s="1">
        <v>679</v>
      </c>
      <c r="J21" s="2" t="s">
        <v>30</v>
      </c>
    </row>
    <row r="22" spans="1:10" ht="34.049999999999997" customHeight="1" x14ac:dyDescent="0.25">
      <c r="A22" s="2">
        <v>21</v>
      </c>
      <c r="B22" s="2">
        <v>21</v>
      </c>
      <c r="C22" s="2" t="s">
        <v>1</v>
      </c>
      <c r="D22" s="2" t="s">
        <v>1</v>
      </c>
      <c r="E22" s="2" t="s">
        <v>1</v>
      </c>
      <c r="F22" s="1">
        <v>842</v>
      </c>
      <c r="G22" s="1">
        <v>634</v>
      </c>
      <c r="H22" s="1">
        <f t="shared" si="0"/>
        <v>339</v>
      </c>
      <c r="I22" s="1">
        <v>973</v>
      </c>
      <c r="J22" s="2" t="s">
        <v>30</v>
      </c>
    </row>
    <row r="23" spans="1:10" ht="34.049999999999997" customHeight="1" x14ac:dyDescent="0.25">
      <c r="A23" s="2">
        <v>22</v>
      </c>
      <c r="B23" s="2">
        <v>22</v>
      </c>
      <c r="C23" s="2" t="s">
        <v>1</v>
      </c>
      <c r="D23" s="2" t="s">
        <v>1</v>
      </c>
      <c r="E23" s="2" t="s">
        <v>1</v>
      </c>
      <c r="F23" s="1">
        <v>952</v>
      </c>
      <c r="G23" s="1">
        <v>656</v>
      </c>
      <c r="H23" s="1">
        <f t="shared" si="0"/>
        <v>296</v>
      </c>
      <c r="I23" s="1">
        <v>952</v>
      </c>
      <c r="J23" s="2" t="s">
        <v>30</v>
      </c>
    </row>
    <row r="24" spans="1:10" ht="34.049999999999997" customHeight="1" x14ac:dyDescent="0.25">
      <c r="A24" s="2">
        <v>23</v>
      </c>
      <c r="B24" s="2">
        <v>23</v>
      </c>
      <c r="C24" s="2" t="s">
        <v>1</v>
      </c>
      <c r="D24" s="2" t="s">
        <v>1</v>
      </c>
      <c r="E24" s="2" t="s">
        <v>1</v>
      </c>
      <c r="F24" s="1">
        <v>1510</v>
      </c>
      <c r="G24" s="1">
        <v>1154</v>
      </c>
      <c r="H24" s="1">
        <f t="shared" si="0"/>
        <v>329</v>
      </c>
      <c r="I24" s="1">
        <v>1483</v>
      </c>
      <c r="J24" s="2" t="s">
        <v>30</v>
      </c>
    </row>
    <row r="25" spans="1:10" ht="34.049999999999997" customHeight="1" x14ac:dyDescent="0.25">
      <c r="A25" s="2">
        <v>24</v>
      </c>
      <c r="B25" s="2">
        <v>24</v>
      </c>
      <c r="C25" s="2" t="s">
        <v>1</v>
      </c>
      <c r="D25" s="2" t="s">
        <v>1</v>
      </c>
      <c r="E25" s="2" t="s">
        <v>1</v>
      </c>
      <c r="F25" s="1">
        <v>2547</v>
      </c>
      <c r="G25" s="1">
        <v>2188</v>
      </c>
      <c r="H25" s="1">
        <f t="shared" si="0"/>
        <v>365</v>
      </c>
      <c r="I25" s="1">
        <v>2553</v>
      </c>
      <c r="J25" s="2" t="s">
        <v>30</v>
      </c>
    </row>
    <row r="26" spans="1:10" ht="34.049999999999997" customHeight="1" x14ac:dyDescent="0.25">
      <c r="A26" s="2">
        <v>25</v>
      </c>
      <c r="B26" s="2">
        <v>25</v>
      </c>
      <c r="C26" s="2" t="s">
        <v>1</v>
      </c>
      <c r="D26" s="2" t="s">
        <v>1</v>
      </c>
      <c r="E26" s="2" t="s">
        <v>1</v>
      </c>
      <c r="F26" s="1">
        <v>1801</v>
      </c>
      <c r="G26" s="1">
        <v>1466</v>
      </c>
      <c r="H26" s="1">
        <f t="shared" si="0"/>
        <v>289</v>
      </c>
      <c r="I26" s="1">
        <v>1755</v>
      </c>
      <c r="J26" s="2" t="s">
        <v>41</v>
      </c>
    </row>
  </sheetData>
  <pageMargins left="0.23622047244094491" right="0.23622047244094491" top="0.55118110236220474" bottom="0.55118110236220474" header="0" footer="0"/>
  <pageSetup paperSize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4BB2-BDF7-4C3E-AED9-ABB4BD3CE5EA}">
  <dimension ref="A1:J25"/>
  <sheetViews>
    <sheetView topLeftCell="A3" zoomScale="70" zoomScaleNormal="70" workbookViewId="0">
      <selection activeCell="N14" sqref="N14"/>
    </sheetView>
  </sheetViews>
  <sheetFormatPr defaultRowHeight="15.6" x14ac:dyDescent="0.25"/>
  <cols>
    <col min="1" max="1" width="6.33203125" bestFit="1" customWidth="1"/>
    <col min="2" max="2" width="15.5546875" customWidth="1"/>
    <col min="3" max="3" width="25" customWidth="1"/>
    <col min="4" max="4" width="22.77734375" customWidth="1"/>
    <col min="5" max="5" width="21.6640625" customWidth="1"/>
    <col min="6" max="6" width="17.44140625" customWidth="1"/>
    <col min="7" max="7" width="13.44140625" bestFit="1" customWidth="1"/>
    <col min="8" max="8" width="15" bestFit="1" customWidth="1"/>
    <col min="9" max="9" width="11.6640625" customWidth="1"/>
    <col min="10" max="10" width="35.33203125" style="11" customWidth="1"/>
  </cols>
  <sheetData>
    <row r="1" spans="1:10" ht="43.95" customHeight="1" x14ac:dyDescent="0.25">
      <c r="A1" s="17" t="s">
        <v>26</v>
      </c>
      <c r="B1" s="17" t="s">
        <v>20</v>
      </c>
      <c r="C1" s="18" t="s">
        <v>0</v>
      </c>
      <c r="D1" s="18" t="s">
        <v>2</v>
      </c>
      <c r="E1" s="18" t="s">
        <v>3</v>
      </c>
      <c r="F1" s="17" t="s">
        <v>21</v>
      </c>
      <c r="G1" s="17" t="s">
        <v>51</v>
      </c>
      <c r="H1" s="17" t="s">
        <v>52</v>
      </c>
      <c r="I1" s="17" t="s">
        <v>50</v>
      </c>
      <c r="J1" s="4" t="s">
        <v>22</v>
      </c>
    </row>
    <row r="2" spans="1:10" ht="43.95" customHeight="1" x14ac:dyDescent="0.25">
      <c r="A2" s="19">
        <v>1</v>
      </c>
      <c r="B2" s="19">
        <v>1</v>
      </c>
      <c r="C2" s="20" t="s">
        <v>1</v>
      </c>
      <c r="D2" s="20" t="s">
        <v>1</v>
      </c>
      <c r="E2" s="20" t="s">
        <v>1</v>
      </c>
      <c r="F2" s="1">
        <v>922</v>
      </c>
      <c r="G2" s="1">
        <v>712</v>
      </c>
      <c r="H2" s="1">
        <f t="shared" ref="H2:H3" si="0">I2-G2</f>
        <v>113</v>
      </c>
      <c r="I2" s="1">
        <v>825</v>
      </c>
      <c r="J2" s="1" t="s">
        <v>47</v>
      </c>
    </row>
    <row r="3" spans="1:10" ht="43.95" customHeight="1" x14ac:dyDescent="0.25">
      <c r="A3" s="19">
        <v>2</v>
      </c>
      <c r="B3" s="19">
        <v>2</v>
      </c>
      <c r="C3" s="20" t="s">
        <v>1</v>
      </c>
      <c r="D3" s="20" t="s">
        <v>1</v>
      </c>
      <c r="E3" s="20" t="s">
        <v>1</v>
      </c>
      <c r="F3" s="1">
        <v>1132</v>
      </c>
      <c r="G3" s="1">
        <v>867</v>
      </c>
      <c r="H3" s="1">
        <f t="shared" si="0"/>
        <v>146</v>
      </c>
      <c r="I3" s="1">
        <v>1013</v>
      </c>
      <c r="J3" s="1" t="s">
        <v>47</v>
      </c>
    </row>
    <row r="4" spans="1:10" ht="43.95" customHeight="1" x14ac:dyDescent="0.25">
      <c r="A4" s="19">
        <v>3</v>
      </c>
      <c r="B4" s="19">
        <v>3</v>
      </c>
      <c r="C4" s="20" t="s">
        <v>1</v>
      </c>
      <c r="D4" s="20" t="s">
        <v>1</v>
      </c>
      <c r="E4" s="20" t="s">
        <v>1</v>
      </c>
      <c r="F4" s="1">
        <v>3453</v>
      </c>
      <c r="G4" s="1">
        <v>2927</v>
      </c>
      <c r="H4" s="1">
        <f>I4-G4</f>
        <v>465</v>
      </c>
      <c r="I4" s="1">
        <v>3392</v>
      </c>
      <c r="J4" s="10" t="s">
        <v>30</v>
      </c>
    </row>
    <row r="5" spans="1:10" ht="43.95" customHeight="1" x14ac:dyDescent="0.25">
      <c r="A5" s="19">
        <v>4</v>
      </c>
      <c r="B5" s="19">
        <v>4</v>
      </c>
      <c r="C5" s="20" t="s">
        <v>1</v>
      </c>
      <c r="D5" s="20" t="s">
        <v>1</v>
      </c>
      <c r="E5" s="20" t="s">
        <v>1</v>
      </c>
      <c r="F5" s="1">
        <v>1385</v>
      </c>
      <c r="G5" s="1">
        <v>1038</v>
      </c>
      <c r="H5" s="1">
        <f t="shared" ref="H5:H16" si="1">I5-G5</f>
        <v>159</v>
      </c>
      <c r="I5" s="1">
        <v>1197</v>
      </c>
      <c r="J5" s="10" t="s">
        <v>30</v>
      </c>
    </row>
    <row r="6" spans="1:10" ht="43.95" customHeight="1" x14ac:dyDescent="0.25">
      <c r="A6" s="19">
        <v>5</v>
      </c>
      <c r="B6" s="19">
        <v>5</v>
      </c>
      <c r="C6" s="20" t="s">
        <v>1</v>
      </c>
      <c r="D6" s="20" t="s">
        <v>1</v>
      </c>
      <c r="E6" s="20" t="s">
        <v>1</v>
      </c>
      <c r="F6" s="1">
        <v>1162</v>
      </c>
      <c r="G6" s="1">
        <v>741</v>
      </c>
      <c r="H6" s="1">
        <f t="shared" si="1"/>
        <v>265</v>
      </c>
      <c r="I6" s="1">
        <v>1006</v>
      </c>
      <c r="J6" s="10" t="s">
        <v>30</v>
      </c>
    </row>
    <row r="7" spans="1:10" ht="43.95" customHeight="1" x14ac:dyDescent="0.25">
      <c r="A7" s="19">
        <v>6</v>
      </c>
      <c r="B7" s="19">
        <v>6</v>
      </c>
      <c r="C7" s="20" t="s">
        <v>1</v>
      </c>
      <c r="D7" s="20" t="s">
        <v>1</v>
      </c>
      <c r="E7" s="20" t="s">
        <v>1</v>
      </c>
      <c r="F7" s="1">
        <v>719</v>
      </c>
      <c r="G7" s="1">
        <v>633</v>
      </c>
      <c r="H7" s="1">
        <f t="shared" si="1"/>
        <v>114</v>
      </c>
      <c r="I7" s="1">
        <v>747</v>
      </c>
      <c r="J7" s="10" t="s">
        <v>30</v>
      </c>
    </row>
    <row r="8" spans="1:10" ht="43.95" customHeight="1" x14ac:dyDescent="0.25">
      <c r="A8" s="19">
        <v>7</v>
      </c>
      <c r="B8" s="19">
        <v>7</v>
      </c>
      <c r="C8" s="20" t="s">
        <v>1</v>
      </c>
      <c r="D8" s="20" t="s">
        <v>1</v>
      </c>
      <c r="E8" s="20" t="s">
        <v>1</v>
      </c>
      <c r="F8" s="1">
        <v>451</v>
      </c>
      <c r="G8" s="1">
        <v>423</v>
      </c>
      <c r="H8" s="1">
        <f t="shared" si="1"/>
        <v>19</v>
      </c>
      <c r="I8" s="1">
        <v>442</v>
      </c>
      <c r="J8" s="10" t="s">
        <v>30</v>
      </c>
    </row>
    <row r="9" spans="1:10" ht="43.95" customHeight="1" x14ac:dyDescent="0.25">
      <c r="A9" s="19">
        <v>8</v>
      </c>
      <c r="B9" s="19">
        <v>8</v>
      </c>
      <c r="C9" s="20" t="s">
        <v>1</v>
      </c>
      <c r="D9" s="20" t="s">
        <v>1</v>
      </c>
      <c r="E9" s="20" t="s">
        <v>1</v>
      </c>
      <c r="F9" s="1">
        <v>801</v>
      </c>
      <c r="G9" s="1">
        <v>697</v>
      </c>
      <c r="H9" s="1">
        <f t="shared" si="1"/>
        <v>84</v>
      </c>
      <c r="I9" s="1">
        <v>781</v>
      </c>
      <c r="J9" s="10" t="s">
        <v>30</v>
      </c>
    </row>
    <row r="10" spans="1:10" ht="43.95" customHeight="1" x14ac:dyDescent="0.25">
      <c r="A10" s="19">
        <v>9</v>
      </c>
      <c r="B10" s="19">
        <v>9</v>
      </c>
      <c r="C10" s="20" t="s">
        <v>1</v>
      </c>
      <c r="D10" s="20" t="s">
        <v>1</v>
      </c>
      <c r="E10" s="20" t="s">
        <v>1</v>
      </c>
      <c r="F10" s="1">
        <v>980</v>
      </c>
      <c r="G10" s="1">
        <v>745</v>
      </c>
      <c r="H10" s="1">
        <f t="shared" si="1"/>
        <v>68</v>
      </c>
      <c r="I10" s="1">
        <v>813</v>
      </c>
      <c r="J10" s="10" t="s">
        <v>30</v>
      </c>
    </row>
    <row r="11" spans="1:10" ht="43.95" customHeight="1" x14ac:dyDescent="0.25">
      <c r="A11" s="19">
        <v>10</v>
      </c>
      <c r="B11" s="19">
        <v>10</v>
      </c>
      <c r="C11" s="20" t="s">
        <v>1</v>
      </c>
      <c r="D11" s="20" t="s">
        <v>1</v>
      </c>
      <c r="E11" s="20" t="s">
        <v>1</v>
      </c>
      <c r="F11" s="1">
        <v>1020</v>
      </c>
      <c r="G11" s="1">
        <v>832</v>
      </c>
      <c r="H11" s="1">
        <f t="shared" si="1"/>
        <v>160</v>
      </c>
      <c r="I11" s="1">
        <v>992</v>
      </c>
      <c r="J11" s="10" t="s">
        <v>30</v>
      </c>
    </row>
    <row r="12" spans="1:10" ht="43.95" customHeight="1" x14ac:dyDescent="0.25">
      <c r="A12" s="19">
        <v>11</v>
      </c>
      <c r="B12" s="19">
        <v>11</v>
      </c>
      <c r="C12" s="20" t="s">
        <v>1</v>
      </c>
      <c r="D12" s="20" t="s">
        <v>1</v>
      </c>
      <c r="E12" s="20" t="s">
        <v>1</v>
      </c>
      <c r="F12" s="1">
        <v>892</v>
      </c>
      <c r="G12" s="1">
        <v>712</v>
      </c>
      <c r="H12" s="1">
        <f t="shared" si="1"/>
        <v>110</v>
      </c>
      <c r="I12" s="1">
        <v>822</v>
      </c>
      <c r="J12" s="1" t="s">
        <v>47</v>
      </c>
    </row>
    <row r="13" spans="1:10" ht="43.95" customHeight="1" x14ac:dyDescent="0.25">
      <c r="A13" s="19">
        <v>12</v>
      </c>
      <c r="B13" s="19">
        <v>12</v>
      </c>
      <c r="C13" s="20" t="s">
        <v>1</v>
      </c>
      <c r="D13" s="20" t="s">
        <v>1</v>
      </c>
      <c r="E13" s="20" t="s">
        <v>1</v>
      </c>
      <c r="F13" s="1">
        <v>631</v>
      </c>
      <c r="G13" s="1">
        <v>552</v>
      </c>
      <c r="H13" s="1">
        <f t="shared" si="1"/>
        <v>113</v>
      </c>
      <c r="I13" s="1">
        <v>665</v>
      </c>
      <c r="J13" s="1" t="s">
        <v>47</v>
      </c>
    </row>
    <row r="14" spans="1:10" ht="43.95" customHeight="1" x14ac:dyDescent="0.25">
      <c r="A14" s="19">
        <v>13</v>
      </c>
      <c r="B14" s="19">
        <v>13</v>
      </c>
      <c r="C14" s="20" t="s">
        <v>1</v>
      </c>
      <c r="D14" s="20" t="s">
        <v>1</v>
      </c>
      <c r="E14" s="20" t="s">
        <v>1</v>
      </c>
      <c r="F14" s="1">
        <v>368</v>
      </c>
      <c r="G14" s="1">
        <v>281</v>
      </c>
      <c r="H14" s="1">
        <f t="shared" si="1"/>
        <v>63</v>
      </c>
      <c r="I14" s="1">
        <v>344</v>
      </c>
      <c r="J14" s="10" t="s">
        <v>30</v>
      </c>
    </row>
    <row r="15" spans="1:10" ht="43.95" customHeight="1" x14ac:dyDescent="0.25">
      <c r="A15" s="19">
        <v>14</v>
      </c>
      <c r="B15" s="19">
        <v>14</v>
      </c>
      <c r="C15" s="20" t="s">
        <v>1</v>
      </c>
      <c r="D15" s="20" t="s">
        <v>1</v>
      </c>
      <c r="E15" s="20" t="s">
        <v>1</v>
      </c>
      <c r="F15" s="1">
        <v>575</v>
      </c>
      <c r="G15" s="1">
        <v>475</v>
      </c>
      <c r="H15" s="1">
        <f t="shared" si="1"/>
        <v>133</v>
      </c>
      <c r="I15" s="1">
        <v>608</v>
      </c>
      <c r="J15" s="10" t="s">
        <v>30</v>
      </c>
    </row>
    <row r="16" spans="1:10" ht="43.95" customHeight="1" x14ac:dyDescent="0.25">
      <c r="A16" s="19">
        <v>15</v>
      </c>
      <c r="B16" s="19">
        <v>15</v>
      </c>
      <c r="C16" s="20" t="s">
        <v>1</v>
      </c>
      <c r="D16" s="20" t="s">
        <v>1</v>
      </c>
      <c r="E16" s="20" t="s">
        <v>1</v>
      </c>
      <c r="F16" s="1">
        <v>701</v>
      </c>
      <c r="G16" s="1">
        <v>514</v>
      </c>
      <c r="H16" s="1">
        <f t="shared" si="1"/>
        <v>113</v>
      </c>
      <c r="I16" s="1">
        <v>627</v>
      </c>
      <c r="J16" s="10" t="s">
        <v>30</v>
      </c>
    </row>
    <row r="17" spans="1:10" x14ac:dyDescent="0.25">
      <c r="A17" s="8"/>
      <c r="B17" s="8"/>
      <c r="F17" s="24"/>
      <c r="G17" s="24"/>
      <c r="H17" s="24"/>
      <c r="I17" s="24"/>
      <c r="J17" s="22"/>
    </row>
    <row r="18" spans="1:10" x14ac:dyDescent="0.25">
      <c r="A18" s="8"/>
      <c r="B18" s="8"/>
      <c r="F18" s="8"/>
      <c r="G18" s="8"/>
      <c r="H18" s="8"/>
      <c r="I18" s="8"/>
      <c r="J18" s="22"/>
    </row>
    <row r="19" spans="1:10" x14ac:dyDescent="0.25">
      <c r="A19" s="8"/>
      <c r="B19" s="8"/>
      <c r="F19" s="8"/>
      <c r="G19" s="8"/>
      <c r="H19" s="8"/>
      <c r="I19" s="8"/>
      <c r="J19" s="22"/>
    </row>
    <row r="20" spans="1:10" x14ac:dyDescent="0.25">
      <c r="A20" s="8"/>
      <c r="B20" s="8"/>
      <c r="F20" s="8"/>
      <c r="G20" s="8"/>
      <c r="H20" s="8"/>
      <c r="I20" s="8"/>
      <c r="J20" s="22"/>
    </row>
    <row r="21" spans="1:10" x14ac:dyDescent="0.25">
      <c r="A21" s="8"/>
      <c r="B21" s="8"/>
      <c r="F21" s="8"/>
      <c r="G21" s="8"/>
      <c r="H21" s="8"/>
      <c r="I21" s="8"/>
      <c r="J21" s="22"/>
    </row>
    <row r="22" spans="1:10" x14ac:dyDescent="0.25">
      <c r="A22" s="8"/>
      <c r="B22" s="8"/>
      <c r="F22" s="8"/>
      <c r="G22" s="8"/>
      <c r="H22" s="8"/>
      <c r="I22" s="8"/>
      <c r="J22" s="22"/>
    </row>
    <row r="23" spans="1:10" x14ac:dyDescent="0.25">
      <c r="A23" s="8"/>
      <c r="B23" s="8"/>
      <c r="F23" s="8"/>
      <c r="G23" s="8"/>
      <c r="H23" s="8"/>
      <c r="I23" s="8"/>
      <c r="J23" s="22"/>
    </row>
    <row r="24" spans="1:10" x14ac:dyDescent="0.25">
      <c r="A24" s="8"/>
      <c r="B24" s="8"/>
      <c r="F24" s="8"/>
      <c r="G24" s="8"/>
      <c r="H24" s="8"/>
      <c r="I24" s="8"/>
      <c r="J24" s="22"/>
    </row>
    <row r="25" spans="1:10" x14ac:dyDescent="0.25">
      <c r="A25" s="8"/>
      <c r="B25" s="8"/>
      <c r="F25" s="8"/>
      <c r="G25" s="8"/>
      <c r="H25" s="8"/>
      <c r="I25" s="8"/>
      <c r="J25" s="22"/>
    </row>
  </sheetData>
  <pageMargins left="0.11811023622047245" right="0.11811023622047245" top="0.15748031496062992" bottom="0.15748031496062992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1BC2-D03B-45A6-A4CF-C98D7A518B53}">
  <dimension ref="A1:J14"/>
  <sheetViews>
    <sheetView topLeftCell="A8" zoomScale="116" zoomScaleNormal="55" workbookViewId="0">
      <selection activeCell="J5" sqref="J5"/>
    </sheetView>
  </sheetViews>
  <sheetFormatPr defaultRowHeight="13.2" x14ac:dyDescent="0.25"/>
  <cols>
    <col min="2" max="2" width="19.88671875" customWidth="1"/>
    <col min="3" max="3" width="28" hidden="1" customWidth="1"/>
    <col min="4" max="4" width="23.109375" hidden="1" customWidth="1"/>
    <col min="5" max="5" width="23.88671875" hidden="1" customWidth="1"/>
    <col min="6" max="8" width="23.5546875" customWidth="1"/>
    <col min="9" max="9" width="15.109375" customWidth="1"/>
    <col min="10" max="10" width="49.21875" customWidth="1"/>
  </cols>
  <sheetData>
    <row r="1" spans="1:10" ht="48" customHeight="1" x14ac:dyDescent="0.25">
      <c r="A1" s="4" t="s">
        <v>26</v>
      </c>
      <c r="B1" s="4" t="s">
        <v>20</v>
      </c>
      <c r="C1" s="9" t="s">
        <v>0</v>
      </c>
      <c r="D1" s="9" t="s">
        <v>2</v>
      </c>
      <c r="E1" s="9" t="s">
        <v>3</v>
      </c>
      <c r="F1" s="4" t="s">
        <v>21</v>
      </c>
      <c r="G1" s="4" t="s">
        <v>51</v>
      </c>
      <c r="H1" s="4" t="s">
        <v>52</v>
      </c>
      <c r="I1" s="4" t="s">
        <v>50</v>
      </c>
      <c r="J1" s="4" t="s">
        <v>22</v>
      </c>
    </row>
    <row r="2" spans="1:10" ht="48" customHeight="1" x14ac:dyDescent="0.25">
      <c r="A2" s="5">
        <v>1</v>
      </c>
      <c r="B2" s="5">
        <v>1</v>
      </c>
      <c r="C2" s="10" t="s">
        <v>1</v>
      </c>
      <c r="D2" s="10" t="s">
        <v>1</v>
      </c>
      <c r="E2" s="10" t="s">
        <v>1</v>
      </c>
      <c r="F2" s="5">
        <v>149</v>
      </c>
      <c r="G2" s="5">
        <v>119</v>
      </c>
      <c r="H2" s="5">
        <f>I2-G2</f>
        <v>16</v>
      </c>
      <c r="I2" s="5">
        <v>135</v>
      </c>
      <c r="J2" s="10" t="s">
        <v>30</v>
      </c>
    </row>
    <row r="3" spans="1:10" ht="48" customHeight="1" x14ac:dyDescent="0.25">
      <c r="A3" s="5">
        <v>2</v>
      </c>
      <c r="B3" s="5">
        <v>2</v>
      </c>
      <c r="C3" s="10" t="s">
        <v>1</v>
      </c>
      <c r="D3" s="10" t="s">
        <v>1</v>
      </c>
      <c r="E3" s="10" t="s">
        <v>1</v>
      </c>
      <c r="F3" s="5">
        <v>714</v>
      </c>
      <c r="G3" s="5">
        <v>514</v>
      </c>
      <c r="H3" s="5">
        <f t="shared" ref="H3:H14" si="0">I3-G3</f>
        <v>134</v>
      </c>
      <c r="I3" s="5">
        <v>648</v>
      </c>
      <c r="J3" s="10" t="s">
        <v>30</v>
      </c>
    </row>
    <row r="4" spans="1:10" ht="48" customHeight="1" x14ac:dyDescent="0.25">
      <c r="A4" s="5">
        <v>3</v>
      </c>
      <c r="B4" s="5">
        <v>3</v>
      </c>
      <c r="C4" s="10" t="s">
        <v>1</v>
      </c>
      <c r="D4" s="10" t="s">
        <v>1</v>
      </c>
      <c r="E4" s="10" t="s">
        <v>1</v>
      </c>
      <c r="F4" s="5">
        <v>389</v>
      </c>
      <c r="G4" s="5">
        <v>278</v>
      </c>
      <c r="H4" s="5">
        <f t="shared" si="0"/>
        <v>97</v>
      </c>
      <c r="I4" s="5">
        <v>375</v>
      </c>
      <c r="J4" s="10" t="s">
        <v>30</v>
      </c>
    </row>
    <row r="5" spans="1:10" ht="48" customHeight="1" x14ac:dyDescent="0.25">
      <c r="A5" s="5">
        <v>4</v>
      </c>
      <c r="B5" s="5">
        <v>4</v>
      </c>
      <c r="C5" s="10" t="s">
        <v>1</v>
      </c>
      <c r="D5" s="10" t="s">
        <v>1</v>
      </c>
      <c r="E5" s="10" t="s">
        <v>1</v>
      </c>
      <c r="F5" s="5">
        <v>289</v>
      </c>
      <c r="G5" s="5">
        <v>201</v>
      </c>
      <c r="H5" s="5">
        <f t="shared" si="0"/>
        <v>42</v>
      </c>
      <c r="I5" s="5">
        <v>243</v>
      </c>
      <c r="J5" s="10" t="s">
        <v>30</v>
      </c>
    </row>
    <row r="6" spans="1:10" ht="48" customHeight="1" x14ac:dyDescent="0.25">
      <c r="A6" s="5">
        <v>5</v>
      </c>
      <c r="B6" s="5">
        <v>5</v>
      </c>
      <c r="C6" s="10" t="s">
        <v>1</v>
      </c>
      <c r="D6" s="10" t="s">
        <v>1</v>
      </c>
      <c r="E6" s="10" t="s">
        <v>1</v>
      </c>
      <c r="F6" s="5">
        <v>576</v>
      </c>
      <c r="G6" s="5">
        <v>399</v>
      </c>
      <c r="H6" s="5">
        <f t="shared" si="0"/>
        <v>67</v>
      </c>
      <c r="I6" s="5">
        <v>466</v>
      </c>
      <c r="J6" s="10" t="s">
        <v>30</v>
      </c>
    </row>
    <row r="7" spans="1:10" ht="48" customHeight="1" x14ac:dyDescent="0.25">
      <c r="A7" s="5">
        <v>6</v>
      </c>
      <c r="B7" s="5">
        <v>6</v>
      </c>
      <c r="C7" s="10" t="s">
        <v>1</v>
      </c>
      <c r="D7" s="10" t="s">
        <v>1</v>
      </c>
      <c r="E7" s="10" t="s">
        <v>1</v>
      </c>
      <c r="F7" s="5">
        <v>1146</v>
      </c>
      <c r="G7" s="5">
        <v>932</v>
      </c>
      <c r="H7" s="5">
        <f t="shared" si="0"/>
        <v>180</v>
      </c>
      <c r="I7" s="5">
        <v>1112</v>
      </c>
      <c r="J7" s="1" t="s">
        <v>48</v>
      </c>
    </row>
    <row r="8" spans="1:10" ht="48" customHeight="1" x14ac:dyDescent="0.25">
      <c r="A8" s="5">
        <v>7</v>
      </c>
      <c r="B8" s="5">
        <v>7</v>
      </c>
      <c r="C8" s="10" t="s">
        <v>1</v>
      </c>
      <c r="D8" s="10" t="s">
        <v>1</v>
      </c>
      <c r="E8" s="10" t="s">
        <v>1</v>
      </c>
      <c r="F8" s="5">
        <v>752</v>
      </c>
      <c r="G8" s="5">
        <v>621</v>
      </c>
      <c r="H8" s="5">
        <f t="shared" si="0"/>
        <v>82</v>
      </c>
      <c r="I8" s="5">
        <v>703</v>
      </c>
      <c r="J8" s="1" t="s">
        <v>48</v>
      </c>
    </row>
    <row r="9" spans="1:10" ht="48" customHeight="1" x14ac:dyDescent="0.25">
      <c r="A9" s="5">
        <v>8</v>
      </c>
      <c r="B9" s="5">
        <v>8</v>
      </c>
      <c r="C9" s="10" t="s">
        <v>1</v>
      </c>
      <c r="D9" s="10" t="s">
        <v>1</v>
      </c>
      <c r="E9" s="10" t="s">
        <v>1</v>
      </c>
      <c r="F9" s="5">
        <v>633</v>
      </c>
      <c r="G9" s="5">
        <v>555</v>
      </c>
      <c r="H9" s="5">
        <f t="shared" si="0"/>
        <v>63</v>
      </c>
      <c r="I9" s="5">
        <v>618</v>
      </c>
      <c r="J9" s="1" t="s">
        <v>48</v>
      </c>
    </row>
    <row r="10" spans="1:10" ht="48" customHeight="1" x14ac:dyDescent="0.25">
      <c r="A10" s="5">
        <v>9</v>
      </c>
      <c r="B10" s="5">
        <v>9</v>
      </c>
      <c r="C10" s="10" t="s">
        <v>1</v>
      </c>
      <c r="D10" s="10" t="s">
        <v>1</v>
      </c>
      <c r="E10" s="10" t="s">
        <v>1</v>
      </c>
      <c r="F10" s="5">
        <v>843</v>
      </c>
      <c r="G10" s="5">
        <v>732</v>
      </c>
      <c r="H10" s="5">
        <f t="shared" si="0"/>
        <v>108</v>
      </c>
      <c r="I10" s="5">
        <v>840</v>
      </c>
      <c r="J10" s="1" t="s">
        <v>48</v>
      </c>
    </row>
    <row r="11" spans="1:10" ht="48" customHeight="1" x14ac:dyDescent="0.25">
      <c r="A11" s="5">
        <v>10</v>
      </c>
      <c r="B11" s="5">
        <v>10</v>
      </c>
      <c r="C11" s="10" t="s">
        <v>1</v>
      </c>
      <c r="D11" s="10" t="s">
        <v>1</v>
      </c>
      <c r="E11" s="10" t="s">
        <v>1</v>
      </c>
      <c r="F11" s="5">
        <v>421</v>
      </c>
      <c r="G11" s="5">
        <v>354</v>
      </c>
      <c r="H11" s="5">
        <f t="shared" si="0"/>
        <v>48</v>
      </c>
      <c r="I11" s="5">
        <v>402</v>
      </c>
      <c r="J11" s="1" t="s">
        <v>48</v>
      </c>
    </row>
    <row r="12" spans="1:10" ht="48" customHeight="1" x14ac:dyDescent="0.25">
      <c r="A12" s="5">
        <v>11</v>
      </c>
      <c r="B12" s="5">
        <v>11</v>
      </c>
      <c r="C12" s="10" t="s">
        <v>1</v>
      </c>
      <c r="D12" s="10" t="s">
        <v>1</v>
      </c>
      <c r="E12" s="10" t="s">
        <v>1</v>
      </c>
      <c r="F12" s="5">
        <v>250</v>
      </c>
      <c r="G12" s="5">
        <v>210</v>
      </c>
      <c r="H12" s="5">
        <f t="shared" si="0"/>
        <v>27</v>
      </c>
      <c r="I12" s="5">
        <v>237</v>
      </c>
      <c r="J12" s="1" t="s">
        <v>48</v>
      </c>
    </row>
    <row r="13" spans="1:10" ht="48" customHeight="1" x14ac:dyDescent="0.25">
      <c r="A13" s="5">
        <v>12</v>
      </c>
      <c r="B13" s="5">
        <v>12</v>
      </c>
      <c r="C13" s="10" t="s">
        <v>1</v>
      </c>
      <c r="D13" s="10" t="s">
        <v>1</v>
      </c>
      <c r="E13" s="10" t="s">
        <v>1</v>
      </c>
      <c r="F13" s="5">
        <v>364</v>
      </c>
      <c r="G13" s="5">
        <v>182</v>
      </c>
      <c r="H13" s="5">
        <f t="shared" si="0"/>
        <v>31</v>
      </c>
      <c r="I13" s="5">
        <v>213</v>
      </c>
      <c r="J13" s="1" t="s">
        <v>48</v>
      </c>
    </row>
    <row r="14" spans="1:10" ht="48" customHeight="1" x14ac:dyDescent="0.25">
      <c r="A14" s="5">
        <v>13</v>
      </c>
      <c r="B14" s="5">
        <v>13</v>
      </c>
      <c r="C14" s="10" t="s">
        <v>1</v>
      </c>
      <c r="D14" s="10" t="s">
        <v>1</v>
      </c>
      <c r="E14" s="10" t="s">
        <v>1</v>
      </c>
      <c r="F14" s="5">
        <v>660</v>
      </c>
      <c r="G14" s="5">
        <v>513</v>
      </c>
      <c r="H14" s="5">
        <f t="shared" si="0"/>
        <v>85</v>
      </c>
      <c r="I14" s="5">
        <v>598</v>
      </c>
      <c r="J14" s="1" t="s">
        <v>48</v>
      </c>
    </row>
  </sheetData>
  <pageMargins left="0.11811023622047245" right="0.11811023622047245" top="0.35433070866141736" bottom="0.3543307086614173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97F2-6149-4177-B2D1-5C6EEE5CCA33}">
  <sheetPr codeName="Sheet3"/>
  <dimension ref="A1:J26"/>
  <sheetViews>
    <sheetView topLeftCell="A12" zoomScaleNormal="100" workbookViewId="0">
      <selection activeCell="L7" sqref="L7"/>
    </sheetView>
  </sheetViews>
  <sheetFormatPr defaultRowHeight="13.2" x14ac:dyDescent="0.25"/>
  <cols>
    <col min="1" max="1" width="6.5546875" customWidth="1"/>
    <col min="2" max="2" width="8" customWidth="1"/>
    <col min="3" max="3" width="16.44140625" customWidth="1"/>
    <col min="4" max="4" width="14.77734375" customWidth="1"/>
    <col min="5" max="5" width="15.77734375" customWidth="1"/>
    <col min="6" max="6" width="8" customWidth="1"/>
    <col min="7" max="7" width="9.44140625" customWidth="1"/>
    <col min="8" max="8" width="10.44140625" customWidth="1"/>
    <col min="9" max="9" width="8.6640625" customWidth="1"/>
    <col min="10" max="10" width="36" customWidth="1"/>
  </cols>
  <sheetData>
    <row r="1" spans="1:10" ht="37.200000000000003" customHeight="1" x14ac:dyDescent="0.25">
      <c r="A1" s="7" t="s">
        <v>25</v>
      </c>
      <c r="B1" s="7" t="s">
        <v>20</v>
      </c>
      <c r="C1" s="6" t="s">
        <v>0</v>
      </c>
      <c r="D1" s="6" t="s">
        <v>2</v>
      </c>
      <c r="E1" s="6" t="s">
        <v>3</v>
      </c>
      <c r="F1" s="7" t="s">
        <v>21</v>
      </c>
      <c r="G1" s="25" t="s">
        <v>51</v>
      </c>
      <c r="H1" s="25" t="s">
        <v>52</v>
      </c>
      <c r="I1" s="25" t="s">
        <v>50</v>
      </c>
      <c r="J1" s="7" t="s">
        <v>22</v>
      </c>
    </row>
    <row r="2" spans="1:10" ht="30" customHeight="1" x14ac:dyDescent="0.25">
      <c r="A2" s="1">
        <v>1</v>
      </c>
      <c r="B2" s="1">
        <v>1</v>
      </c>
      <c r="C2" s="2" t="s">
        <v>1</v>
      </c>
      <c r="D2" s="2" t="s">
        <v>1</v>
      </c>
      <c r="E2" s="2" t="s">
        <v>1</v>
      </c>
      <c r="F2" s="1">
        <v>2406</v>
      </c>
      <c r="G2" s="1">
        <v>1923</v>
      </c>
      <c r="H2" s="1">
        <f>I2-G2</f>
        <v>547</v>
      </c>
      <c r="I2" s="1">
        <v>2470</v>
      </c>
      <c r="J2" s="2" t="s">
        <v>30</v>
      </c>
    </row>
    <row r="3" spans="1:10" ht="30" customHeight="1" x14ac:dyDescent="0.25">
      <c r="A3" s="1">
        <v>2</v>
      </c>
      <c r="B3" s="1">
        <v>2</v>
      </c>
      <c r="C3" s="2" t="s">
        <v>1</v>
      </c>
      <c r="D3" s="2" t="s">
        <v>1</v>
      </c>
      <c r="E3" s="2" t="s">
        <v>1</v>
      </c>
      <c r="F3" s="1">
        <v>3732</v>
      </c>
      <c r="G3" s="1">
        <v>2868</v>
      </c>
      <c r="H3" s="1">
        <f t="shared" ref="H3:H26" si="0">I3-G3</f>
        <v>517</v>
      </c>
      <c r="I3" s="1">
        <v>3385</v>
      </c>
      <c r="J3" s="2" t="s">
        <v>30</v>
      </c>
    </row>
    <row r="4" spans="1:10" ht="30" customHeight="1" x14ac:dyDescent="0.25">
      <c r="A4" s="1">
        <v>3</v>
      </c>
      <c r="B4" s="1">
        <v>3</v>
      </c>
      <c r="C4" s="2" t="s">
        <v>1</v>
      </c>
      <c r="D4" s="2" t="s">
        <v>1</v>
      </c>
      <c r="E4" s="2" t="s">
        <v>1</v>
      </c>
      <c r="F4" s="1">
        <v>2044</v>
      </c>
      <c r="G4" s="1">
        <v>1678</v>
      </c>
      <c r="H4" s="1">
        <f t="shared" si="0"/>
        <v>254</v>
      </c>
      <c r="I4" s="1">
        <v>1932</v>
      </c>
      <c r="J4" s="1" t="s">
        <v>27</v>
      </c>
    </row>
    <row r="5" spans="1:10" ht="28.05" customHeight="1" x14ac:dyDescent="0.25">
      <c r="A5" s="1">
        <v>4</v>
      </c>
      <c r="B5" s="1">
        <v>4</v>
      </c>
      <c r="C5" s="2" t="s">
        <v>1</v>
      </c>
      <c r="D5" s="2" t="s">
        <v>1</v>
      </c>
      <c r="E5" s="2" t="s">
        <v>1</v>
      </c>
      <c r="F5" s="1">
        <v>3091</v>
      </c>
      <c r="G5" s="1">
        <v>2570</v>
      </c>
      <c r="H5" s="1">
        <f t="shared" si="0"/>
        <v>449</v>
      </c>
      <c r="I5" s="1">
        <v>3019</v>
      </c>
      <c r="J5" s="2" t="s">
        <v>30</v>
      </c>
    </row>
    <row r="6" spans="1:10" ht="28.05" customHeight="1" x14ac:dyDescent="0.25">
      <c r="A6" s="1">
        <v>5</v>
      </c>
      <c r="B6" s="1">
        <v>5</v>
      </c>
      <c r="C6" s="2" t="s">
        <v>1</v>
      </c>
      <c r="D6" s="2" t="s">
        <v>1</v>
      </c>
      <c r="E6" s="2" t="s">
        <v>1</v>
      </c>
      <c r="F6" s="1">
        <v>2772</v>
      </c>
      <c r="G6" s="1">
        <v>2254</v>
      </c>
      <c r="H6" s="1">
        <f t="shared" si="0"/>
        <v>344</v>
      </c>
      <c r="I6" s="1">
        <v>2598</v>
      </c>
      <c r="J6" s="10" t="s">
        <v>30</v>
      </c>
    </row>
    <row r="7" spans="1:10" ht="28.05" customHeight="1" x14ac:dyDescent="0.25">
      <c r="A7" s="1">
        <v>6</v>
      </c>
      <c r="B7" s="1">
        <v>6</v>
      </c>
      <c r="C7" s="2" t="s">
        <v>1</v>
      </c>
      <c r="D7" s="2" t="s">
        <v>1</v>
      </c>
      <c r="E7" s="2" t="s">
        <v>1</v>
      </c>
      <c r="F7" s="1">
        <v>2110</v>
      </c>
      <c r="G7" s="1">
        <v>1623</v>
      </c>
      <c r="H7" s="1">
        <f t="shared" si="0"/>
        <v>300</v>
      </c>
      <c r="I7" s="1">
        <v>1923</v>
      </c>
      <c r="J7" s="1" t="s">
        <v>27</v>
      </c>
    </row>
    <row r="8" spans="1:10" ht="28.05" customHeight="1" x14ac:dyDescent="0.25">
      <c r="A8" s="1">
        <v>7</v>
      </c>
      <c r="B8" s="1">
        <v>7</v>
      </c>
      <c r="C8" s="2" t="s">
        <v>1</v>
      </c>
      <c r="D8" s="2" t="s">
        <v>1</v>
      </c>
      <c r="E8" s="2" t="s">
        <v>1</v>
      </c>
      <c r="F8" s="1">
        <v>3613</v>
      </c>
      <c r="G8" s="1">
        <v>2988</v>
      </c>
      <c r="H8" s="1">
        <f t="shared" si="0"/>
        <v>401</v>
      </c>
      <c r="I8" s="1">
        <v>3389</v>
      </c>
      <c r="J8" s="10" t="s">
        <v>30</v>
      </c>
    </row>
    <row r="9" spans="1:10" ht="28.05" customHeight="1" x14ac:dyDescent="0.25">
      <c r="A9" s="1">
        <v>8</v>
      </c>
      <c r="B9" s="1">
        <v>8</v>
      </c>
      <c r="C9" s="2" t="s">
        <v>1</v>
      </c>
      <c r="D9" s="2" t="s">
        <v>1</v>
      </c>
      <c r="E9" s="2" t="s">
        <v>1</v>
      </c>
      <c r="F9" s="1">
        <v>2359</v>
      </c>
      <c r="G9" s="1">
        <v>1677</v>
      </c>
      <c r="H9" s="1">
        <f t="shared" si="0"/>
        <v>236</v>
      </c>
      <c r="I9" s="1">
        <v>1913</v>
      </c>
      <c r="J9" s="1" t="s">
        <v>27</v>
      </c>
    </row>
    <row r="10" spans="1:10" ht="28.05" customHeight="1" x14ac:dyDescent="0.25">
      <c r="A10" s="1">
        <v>9</v>
      </c>
      <c r="B10" s="1">
        <v>9</v>
      </c>
      <c r="C10" s="2" t="s">
        <v>1</v>
      </c>
      <c r="D10" s="2" t="s">
        <v>1</v>
      </c>
      <c r="E10" s="2" t="s">
        <v>1</v>
      </c>
      <c r="F10" s="1">
        <v>3437</v>
      </c>
      <c r="G10" s="1">
        <v>2780</v>
      </c>
      <c r="H10" s="1">
        <f t="shared" si="0"/>
        <v>332</v>
      </c>
      <c r="I10" s="1">
        <v>3112</v>
      </c>
      <c r="J10" s="1" t="s">
        <v>27</v>
      </c>
    </row>
    <row r="11" spans="1:10" ht="30" customHeight="1" x14ac:dyDescent="0.25">
      <c r="A11" s="1">
        <v>10</v>
      </c>
      <c r="B11" s="1">
        <v>10</v>
      </c>
      <c r="C11" s="2" t="s">
        <v>1</v>
      </c>
      <c r="D11" s="2" t="s">
        <v>1</v>
      </c>
      <c r="E11" s="2" t="s">
        <v>1</v>
      </c>
      <c r="F11" s="1">
        <v>2139</v>
      </c>
      <c r="G11" s="1">
        <v>1712</v>
      </c>
      <c r="H11" s="1">
        <f t="shared" si="0"/>
        <v>191</v>
      </c>
      <c r="I11" s="1">
        <v>1903</v>
      </c>
      <c r="J11" s="1" t="s">
        <v>27</v>
      </c>
    </row>
    <row r="12" spans="1:10" ht="30" customHeight="1" x14ac:dyDescent="0.25">
      <c r="A12" s="1">
        <v>11</v>
      </c>
      <c r="B12" s="1">
        <v>11</v>
      </c>
      <c r="C12" s="2" t="s">
        <v>1</v>
      </c>
      <c r="D12" s="2" t="s">
        <v>1</v>
      </c>
      <c r="E12" s="2" t="s">
        <v>1</v>
      </c>
      <c r="F12" s="1">
        <v>2084</v>
      </c>
      <c r="G12" s="1">
        <v>1679</v>
      </c>
      <c r="H12" s="1">
        <f t="shared" si="0"/>
        <v>188</v>
      </c>
      <c r="I12" s="1">
        <v>1867</v>
      </c>
      <c r="J12" s="1" t="s">
        <v>27</v>
      </c>
    </row>
    <row r="13" spans="1:10" ht="30" customHeight="1" x14ac:dyDescent="0.25">
      <c r="A13" s="1">
        <v>12</v>
      </c>
      <c r="B13" s="1">
        <v>12</v>
      </c>
      <c r="C13" s="2" t="s">
        <v>1</v>
      </c>
      <c r="D13" s="2" t="s">
        <v>1</v>
      </c>
      <c r="E13" s="2" t="s">
        <v>1</v>
      </c>
      <c r="F13" s="1">
        <v>1601</v>
      </c>
      <c r="G13" s="1">
        <v>1168</v>
      </c>
      <c r="H13" s="1">
        <f t="shared" si="0"/>
        <v>409</v>
      </c>
      <c r="I13" s="1">
        <v>1577</v>
      </c>
      <c r="J13" s="2" t="s">
        <v>30</v>
      </c>
    </row>
    <row r="14" spans="1:10" ht="30" customHeight="1" x14ac:dyDescent="0.25">
      <c r="A14" s="1">
        <v>13</v>
      </c>
      <c r="B14" s="1">
        <v>13</v>
      </c>
      <c r="C14" s="2" t="s">
        <v>1</v>
      </c>
      <c r="D14" s="2" t="s">
        <v>1</v>
      </c>
      <c r="E14" s="2" t="s">
        <v>1</v>
      </c>
      <c r="F14" s="1">
        <v>2364</v>
      </c>
      <c r="G14" s="1">
        <v>1817</v>
      </c>
      <c r="H14" s="1">
        <f t="shared" si="0"/>
        <v>471</v>
      </c>
      <c r="I14" s="1">
        <v>2288</v>
      </c>
      <c r="J14" s="2" t="s">
        <v>30</v>
      </c>
    </row>
    <row r="15" spans="1:10" ht="30" customHeight="1" x14ac:dyDescent="0.25">
      <c r="A15" s="1">
        <v>14</v>
      </c>
      <c r="B15" s="1">
        <v>14</v>
      </c>
      <c r="C15" s="2" t="s">
        <v>1</v>
      </c>
      <c r="D15" s="2" t="s">
        <v>1</v>
      </c>
      <c r="E15" s="2" t="s">
        <v>1</v>
      </c>
      <c r="F15" s="1">
        <v>6149</v>
      </c>
      <c r="G15" s="1">
        <v>3269</v>
      </c>
      <c r="H15" s="1">
        <f t="shared" si="0"/>
        <v>2292</v>
      </c>
      <c r="I15" s="1">
        <v>5561</v>
      </c>
      <c r="J15" s="2" t="s">
        <v>30</v>
      </c>
    </row>
    <row r="16" spans="1:10" ht="28.05" customHeight="1" x14ac:dyDescent="0.25">
      <c r="A16" s="1">
        <v>15</v>
      </c>
      <c r="B16" s="1">
        <v>15</v>
      </c>
      <c r="C16" s="2" t="s">
        <v>1</v>
      </c>
      <c r="D16" s="2" t="s">
        <v>1</v>
      </c>
      <c r="E16" s="2" t="s">
        <v>1</v>
      </c>
      <c r="F16" s="1">
        <v>2365</v>
      </c>
      <c r="G16" s="1">
        <v>1987</v>
      </c>
      <c r="H16" s="1">
        <f t="shared" si="0"/>
        <v>190</v>
      </c>
      <c r="I16" s="1">
        <v>2177</v>
      </c>
      <c r="J16" s="1" t="s">
        <v>27</v>
      </c>
    </row>
    <row r="17" spans="1:10" ht="28.05" customHeight="1" x14ac:dyDescent="0.25">
      <c r="A17" s="1">
        <v>16</v>
      </c>
      <c r="B17" s="1">
        <v>16</v>
      </c>
      <c r="C17" s="2" t="s">
        <v>1</v>
      </c>
      <c r="D17" s="2" t="s">
        <v>1</v>
      </c>
      <c r="E17" s="2" t="s">
        <v>1</v>
      </c>
      <c r="F17" s="1">
        <v>1846</v>
      </c>
      <c r="G17" s="1">
        <v>1345</v>
      </c>
      <c r="H17" s="1">
        <f t="shared" si="0"/>
        <v>245</v>
      </c>
      <c r="I17" s="1">
        <v>1590</v>
      </c>
      <c r="J17" s="1" t="s">
        <v>27</v>
      </c>
    </row>
    <row r="18" spans="1:10" ht="28.05" customHeight="1" x14ac:dyDescent="0.25">
      <c r="A18" s="1">
        <v>17</v>
      </c>
      <c r="B18" s="1">
        <v>17</v>
      </c>
      <c r="C18" s="2" t="s">
        <v>1</v>
      </c>
      <c r="D18" s="2" t="s">
        <v>1</v>
      </c>
      <c r="E18" s="2" t="s">
        <v>1</v>
      </c>
      <c r="F18" s="1">
        <v>2060</v>
      </c>
      <c r="G18" s="1">
        <v>1567</v>
      </c>
      <c r="H18" s="1">
        <f t="shared" si="0"/>
        <v>337</v>
      </c>
      <c r="I18" s="1">
        <v>1904</v>
      </c>
      <c r="J18" s="2" t="s">
        <v>30</v>
      </c>
    </row>
    <row r="19" spans="1:10" ht="28.05" customHeight="1" x14ac:dyDescent="0.25">
      <c r="A19" s="1">
        <v>18</v>
      </c>
      <c r="B19" s="1">
        <v>18</v>
      </c>
      <c r="C19" s="2" t="s">
        <v>1</v>
      </c>
      <c r="D19" s="2" t="s">
        <v>1</v>
      </c>
      <c r="E19" s="2" t="s">
        <v>1</v>
      </c>
      <c r="F19" s="1">
        <v>870</v>
      </c>
      <c r="G19" s="1">
        <v>679</v>
      </c>
      <c r="H19" s="1">
        <f t="shared" si="0"/>
        <v>126</v>
      </c>
      <c r="I19" s="1">
        <v>805</v>
      </c>
      <c r="J19" s="2" t="s">
        <v>30</v>
      </c>
    </row>
    <row r="20" spans="1:10" ht="28.05" customHeight="1" x14ac:dyDescent="0.25">
      <c r="A20" s="1">
        <v>19</v>
      </c>
      <c r="B20" s="1">
        <v>19</v>
      </c>
      <c r="C20" s="2" t="s">
        <v>1</v>
      </c>
      <c r="D20" s="2" t="s">
        <v>1</v>
      </c>
      <c r="E20" s="2" t="s">
        <v>1</v>
      </c>
      <c r="F20" s="1">
        <v>941</v>
      </c>
      <c r="G20" s="1">
        <v>575</v>
      </c>
      <c r="H20" s="1">
        <f t="shared" si="0"/>
        <v>301</v>
      </c>
      <c r="I20" s="1">
        <v>876</v>
      </c>
      <c r="J20" s="2" t="s">
        <v>30</v>
      </c>
    </row>
    <row r="21" spans="1:10" ht="28.05" customHeight="1" x14ac:dyDescent="0.25">
      <c r="A21" s="1">
        <v>20</v>
      </c>
      <c r="B21" s="1">
        <v>20</v>
      </c>
      <c r="C21" s="2" t="s">
        <v>1</v>
      </c>
      <c r="D21" s="2" t="s">
        <v>1</v>
      </c>
      <c r="E21" s="2" t="s">
        <v>1</v>
      </c>
      <c r="F21" s="1">
        <v>3166</v>
      </c>
      <c r="G21" s="1">
        <v>2678</v>
      </c>
      <c r="H21" s="1">
        <f t="shared" si="0"/>
        <v>289</v>
      </c>
      <c r="I21" s="1">
        <v>2967</v>
      </c>
      <c r="J21" s="1" t="s">
        <v>27</v>
      </c>
    </row>
    <row r="22" spans="1:10" ht="30" customHeight="1" x14ac:dyDescent="0.25">
      <c r="A22" s="1">
        <v>21</v>
      </c>
      <c r="B22" s="1">
        <v>21</v>
      </c>
      <c r="C22" s="2" t="s">
        <v>1</v>
      </c>
      <c r="D22" s="2" t="s">
        <v>1</v>
      </c>
      <c r="E22" s="2" t="s">
        <v>1</v>
      </c>
      <c r="F22" s="1">
        <v>2833</v>
      </c>
      <c r="G22" s="1">
        <v>2499</v>
      </c>
      <c r="H22" s="1">
        <f t="shared" si="0"/>
        <v>223</v>
      </c>
      <c r="I22" s="1">
        <v>2722</v>
      </c>
      <c r="J22" s="2" t="s">
        <v>30</v>
      </c>
    </row>
    <row r="23" spans="1:10" ht="30" customHeight="1" x14ac:dyDescent="0.25">
      <c r="A23" s="1">
        <v>22</v>
      </c>
      <c r="B23" s="1">
        <v>22</v>
      </c>
      <c r="C23" s="2" t="s">
        <v>1</v>
      </c>
      <c r="D23" s="2" t="s">
        <v>1</v>
      </c>
      <c r="E23" s="2" t="s">
        <v>1</v>
      </c>
      <c r="F23" s="1">
        <v>3417</v>
      </c>
      <c r="G23" s="1">
        <v>2634</v>
      </c>
      <c r="H23" s="1">
        <f t="shared" si="0"/>
        <v>354</v>
      </c>
      <c r="I23" s="1">
        <v>2988</v>
      </c>
      <c r="J23" s="10" t="s">
        <v>30</v>
      </c>
    </row>
    <row r="24" spans="1:10" ht="28.05" customHeight="1" x14ac:dyDescent="0.25">
      <c r="A24" s="1">
        <v>23</v>
      </c>
      <c r="B24" s="1">
        <v>23</v>
      </c>
      <c r="C24" s="2" t="s">
        <v>1</v>
      </c>
      <c r="D24" s="2" t="s">
        <v>1</v>
      </c>
      <c r="E24" s="2" t="s">
        <v>1</v>
      </c>
      <c r="F24" s="1">
        <v>4527</v>
      </c>
      <c r="G24" s="1">
        <v>3601</v>
      </c>
      <c r="H24" s="1">
        <f t="shared" si="0"/>
        <v>610</v>
      </c>
      <c r="I24" s="1">
        <v>4211</v>
      </c>
      <c r="J24" s="1" t="s">
        <v>27</v>
      </c>
    </row>
    <row r="25" spans="1:10" ht="28.05" customHeight="1" x14ac:dyDescent="0.25">
      <c r="A25" s="1">
        <v>24</v>
      </c>
      <c r="B25" s="1">
        <v>24</v>
      </c>
      <c r="C25" s="2" t="s">
        <v>1</v>
      </c>
      <c r="D25" s="2" t="s">
        <v>1</v>
      </c>
      <c r="E25" s="2" t="s">
        <v>1</v>
      </c>
      <c r="F25" s="1">
        <v>1713</v>
      </c>
      <c r="G25" s="1">
        <v>1370</v>
      </c>
      <c r="H25" s="1">
        <f t="shared" si="0"/>
        <v>108</v>
      </c>
      <c r="I25" s="1">
        <v>1478</v>
      </c>
      <c r="J25" s="2" t="s">
        <v>30</v>
      </c>
    </row>
    <row r="26" spans="1:10" ht="28.05" customHeight="1" x14ac:dyDescent="0.25">
      <c r="A26" s="1">
        <v>25</v>
      </c>
      <c r="B26" s="1">
        <v>25</v>
      </c>
      <c r="C26" s="2" t="s">
        <v>1</v>
      </c>
      <c r="D26" s="2" t="s">
        <v>1</v>
      </c>
      <c r="E26" s="2" t="s">
        <v>1</v>
      </c>
      <c r="F26" s="1">
        <v>2554</v>
      </c>
      <c r="G26" s="1">
        <v>2112</v>
      </c>
      <c r="H26" s="1">
        <f t="shared" si="0"/>
        <v>236</v>
      </c>
      <c r="I26" s="1">
        <v>2348</v>
      </c>
      <c r="J26" s="10" t="s">
        <v>30</v>
      </c>
    </row>
  </sheetData>
  <pageMargins left="0.11811023622047245" right="0.11811023622047245" top="0.19685039370078741" bottom="0.15748031496062992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A08F-444E-4BE2-B2B7-30C1A1F59AA2}">
  <dimension ref="A1:J11"/>
  <sheetViews>
    <sheetView zoomScale="70" zoomScaleNormal="70" workbookViewId="0">
      <selection activeCell="A12" sqref="A12:XFD12"/>
    </sheetView>
  </sheetViews>
  <sheetFormatPr defaultRowHeight="13.2" x14ac:dyDescent="0.25"/>
  <cols>
    <col min="1" max="1" width="6.33203125" bestFit="1" customWidth="1"/>
    <col min="2" max="2" width="8.109375" customWidth="1"/>
    <col min="3" max="3" width="16.77734375" customWidth="1"/>
    <col min="4" max="4" width="14" customWidth="1"/>
    <col min="5" max="5" width="15.88671875" customWidth="1"/>
    <col min="6" max="8" width="19.21875" customWidth="1"/>
    <col min="9" max="9" width="12.33203125" customWidth="1"/>
    <col min="10" max="10" width="32.33203125" customWidth="1"/>
  </cols>
  <sheetData>
    <row r="1" spans="1:10" s="8" customFormat="1" ht="55.05" customHeight="1" x14ac:dyDescent="0.25">
      <c r="A1" s="13" t="s">
        <v>26</v>
      </c>
      <c r="B1" s="13" t="s">
        <v>20</v>
      </c>
      <c r="C1" s="15" t="s">
        <v>0</v>
      </c>
      <c r="D1" s="15" t="s">
        <v>2</v>
      </c>
      <c r="E1" s="15" t="s">
        <v>3</v>
      </c>
      <c r="F1" s="13" t="s">
        <v>21</v>
      </c>
      <c r="G1" s="13" t="s">
        <v>51</v>
      </c>
      <c r="H1" s="13" t="s">
        <v>52</v>
      </c>
      <c r="I1" s="13" t="s">
        <v>50</v>
      </c>
      <c r="J1" s="13" t="s">
        <v>22</v>
      </c>
    </row>
    <row r="2" spans="1:10" s="8" customFormat="1" ht="55.05" customHeight="1" x14ac:dyDescent="0.25">
      <c r="A2" s="14">
        <v>1</v>
      </c>
      <c r="B2" s="14">
        <v>1</v>
      </c>
      <c r="C2" s="16" t="s">
        <v>1</v>
      </c>
      <c r="D2" s="16" t="s">
        <v>1</v>
      </c>
      <c r="E2" s="16" t="s">
        <v>1</v>
      </c>
      <c r="F2" s="14">
        <v>235</v>
      </c>
      <c r="G2" s="14">
        <v>155</v>
      </c>
      <c r="H2" s="14">
        <f>I2-G2</f>
        <v>53</v>
      </c>
      <c r="I2" s="14">
        <v>208</v>
      </c>
      <c r="J2" s="14" t="s">
        <v>27</v>
      </c>
    </row>
    <row r="3" spans="1:10" s="8" customFormat="1" ht="55.05" customHeight="1" x14ac:dyDescent="0.25">
      <c r="A3" s="14">
        <v>2</v>
      </c>
      <c r="B3" s="14">
        <v>2</v>
      </c>
      <c r="C3" s="16" t="s">
        <v>1</v>
      </c>
      <c r="D3" s="16" t="s">
        <v>1</v>
      </c>
      <c r="E3" s="16" t="s">
        <v>1</v>
      </c>
      <c r="F3" s="14">
        <v>341</v>
      </c>
      <c r="G3" s="14">
        <v>212</v>
      </c>
      <c r="H3" s="14">
        <f t="shared" ref="H3:H11" si="0">I3-G3</f>
        <v>131</v>
      </c>
      <c r="I3" s="14">
        <v>343</v>
      </c>
      <c r="J3" s="14" t="s">
        <v>27</v>
      </c>
    </row>
    <row r="4" spans="1:10" s="8" customFormat="1" ht="55.05" customHeight="1" x14ac:dyDescent="0.25">
      <c r="A4" s="14">
        <v>3</v>
      </c>
      <c r="B4" s="14">
        <v>3</v>
      </c>
      <c r="C4" s="16" t="s">
        <v>1</v>
      </c>
      <c r="D4" s="16" t="s">
        <v>1</v>
      </c>
      <c r="E4" s="16" t="s">
        <v>1</v>
      </c>
      <c r="F4" s="14">
        <v>363</v>
      </c>
      <c r="G4" s="14">
        <v>185</v>
      </c>
      <c r="H4" s="14">
        <f t="shared" si="0"/>
        <v>91</v>
      </c>
      <c r="I4" s="14">
        <v>276</v>
      </c>
      <c r="J4" s="14" t="s">
        <v>27</v>
      </c>
    </row>
    <row r="5" spans="1:10" s="8" customFormat="1" ht="55.05" customHeight="1" x14ac:dyDescent="0.25">
      <c r="A5" s="14">
        <v>4</v>
      </c>
      <c r="B5" s="14">
        <v>4</v>
      </c>
      <c r="C5" s="16" t="s">
        <v>1</v>
      </c>
      <c r="D5" s="16" t="s">
        <v>1</v>
      </c>
      <c r="E5" s="16" t="s">
        <v>1</v>
      </c>
      <c r="F5" s="14">
        <v>333</v>
      </c>
      <c r="G5" s="14">
        <v>240</v>
      </c>
      <c r="H5" s="14">
        <f t="shared" si="0"/>
        <v>95</v>
      </c>
      <c r="I5" s="14">
        <v>335</v>
      </c>
      <c r="J5" s="16" t="s">
        <v>30</v>
      </c>
    </row>
    <row r="6" spans="1:10" s="8" customFormat="1" ht="55.05" customHeight="1" x14ac:dyDescent="0.25">
      <c r="A6" s="14">
        <v>5</v>
      </c>
      <c r="B6" s="14">
        <v>5</v>
      </c>
      <c r="C6" s="16" t="s">
        <v>1</v>
      </c>
      <c r="D6" s="16" t="s">
        <v>1</v>
      </c>
      <c r="E6" s="16" t="s">
        <v>1</v>
      </c>
      <c r="F6" s="14">
        <v>166</v>
      </c>
      <c r="G6" s="14">
        <v>144</v>
      </c>
      <c r="H6" s="14">
        <f t="shared" si="0"/>
        <v>13</v>
      </c>
      <c r="I6" s="14">
        <v>157</v>
      </c>
      <c r="J6" s="16" t="s">
        <v>30</v>
      </c>
    </row>
    <row r="7" spans="1:10" s="8" customFormat="1" ht="55.05" customHeight="1" x14ac:dyDescent="0.25">
      <c r="A7" s="14">
        <v>6</v>
      </c>
      <c r="B7" s="14">
        <v>6</v>
      </c>
      <c r="C7" s="16" t="s">
        <v>1</v>
      </c>
      <c r="D7" s="16" t="s">
        <v>1</v>
      </c>
      <c r="E7" s="16" t="s">
        <v>1</v>
      </c>
      <c r="F7" s="14">
        <v>194</v>
      </c>
      <c r="G7" s="14">
        <v>146</v>
      </c>
      <c r="H7" s="14">
        <f t="shared" si="0"/>
        <v>23</v>
      </c>
      <c r="I7" s="14">
        <v>169</v>
      </c>
      <c r="J7" s="16" t="s">
        <v>30</v>
      </c>
    </row>
    <row r="8" spans="1:10" s="8" customFormat="1" ht="55.05" customHeight="1" x14ac:dyDescent="0.25">
      <c r="A8" s="14">
        <v>7</v>
      </c>
      <c r="B8" s="14">
        <v>7</v>
      </c>
      <c r="C8" s="16" t="s">
        <v>1</v>
      </c>
      <c r="D8" s="16" t="s">
        <v>1</v>
      </c>
      <c r="E8" s="16" t="s">
        <v>1</v>
      </c>
      <c r="F8" s="14">
        <v>272</v>
      </c>
      <c r="G8" s="14">
        <v>198</v>
      </c>
      <c r="H8" s="14">
        <f t="shared" si="0"/>
        <v>64</v>
      </c>
      <c r="I8" s="14">
        <v>262</v>
      </c>
      <c r="J8" s="16" t="s">
        <v>30</v>
      </c>
    </row>
    <row r="9" spans="1:10" s="8" customFormat="1" ht="55.05" customHeight="1" x14ac:dyDescent="0.25">
      <c r="A9" s="14">
        <v>8</v>
      </c>
      <c r="B9" s="14">
        <v>8</v>
      </c>
      <c r="C9" s="16" t="s">
        <v>1</v>
      </c>
      <c r="D9" s="16" t="s">
        <v>1</v>
      </c>
      <c r="E9" s="16" t="s">
        <v>1</v>
      </c>
      <c r="F9" s="14">
        <v>271</v>
      </c>
      <c r="G9" s="14">
        <v>174</v>
      </c>
      <c r="H9" s="14">
        <f t="shared" si="0"/>
        <v>71</v>
      </c>
      <c r="I9" s="14">
        <v>245</v>
      </c>
      <c r="J9" s="16" t="s">
        <v>30</v>
      </c>
    </row>
    <row r="10" spans="1:10" s="8" customFormat="1" ht="55.05" customHeight="1" x14ac:dyDescent="0.25">
      <c r="A10" s="14">
        <v>9</v>
      </c>
      <c r="B10" s="14">
        <v>9</v>
      </c>
      <c r="C10" s="16" t="s">
        <v>1</v>
      </c>
      <c r="D10" s="16" t="s">
        <v>1</v>
      </c>
      <c r="E10" s="16" t="s">
        <v>1</v>
      </c>
      <c r="F10" s="14">
        <v>102</v>
      </c>
      <c r="G10" s="14">
        <v>81</v>
      </c>
      <c r="H10" s="14">
        <f t="shared" si="0"/>
        <v>16</v>
      </c>
      <c r="I10" s="14">
        <v>97</v>
      </c>
      <c r="J10" s="16" t="s">
        <v>30</v>
      </c>
    </row>
    <row r="11" spans="1:10" s="8" customFormat="1" ht="55.05" customHeight="1" x14ac:dyDescent="0.25">
      <c r="A11" s="14">
        <v>10</v>
      </c>
      <c r="B11" s="14">
        <v>10</v>
      </c>
      <c r="C11" s="16" t="s">
        <v>1</v>
      </c>
      <c r="D11" s="16" t="s">
        <v>1</v>
      </c>
      <c r="E11" s="16" t="s">
        <v>1</v>
      </c>
      <c r="F11" s="14">
        <v>309</v>
      </c>
      <c r="G11" s="14">
        <v>195</v>
      </c>
      <c r="H11" s="14">
        <f t="shared" si="0"/>
        <v>99</v>
      </c>
      <c r="I11" s="14">
        <v>294</v>
      </c>
      <c r="J11" s="14" t="s">
        <v>27</v>
      </c>
    </row>
  </sheetData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70DC-9321-443D-B730-A15EAD75EED4}">
  <dimension ref="A1:J16"/>
  <sheetViews>
    <sheetView topLeftCell="A3" zoomScale="70" zoomScaleNormal="70" workbookViewId="0">
      <selection activeCell="A17" sqref="A17:XFD17"/>
    </sheetView>
  </sheetViews>
  <sheetFormatPr defaultRowHeight="13.2" x14ac:dyDescent="0.25"/>
  <cols>
    <col min="1" max="1" width="6.33203125" bestFit="1" customWidth="1"/>
    <col min="3" max="3" width="18" customWidth="1"/>
    <col min="4" max="4" width="13.21875" customWidth="1"/>
    <col min="5" max="5" width="16.109375" customWidth="1"/>
    <col min="6" max="8" width="12.44140625" customWidth="1"/>
    <col min="9" max="9" width="8.109375" customWidth="1"/>
    <col min="10" max="10" width="27.33203125" customWidth="1"/>
  </cols>
  <sheetData>
    <row r="1" spans="1:10" ht="45" customHeight="1" x14ac:dyDescent="0.25">
      <c r="A1" s="4" t="s">
        <v>26</v>
      </c>
      <c r="B1" s="4" t="s">
        <v>20</v>
      </c>
      <c r="C1" s="9" t="s">
        <v>0</v>
      </c>
      <c r="D1" s="9" t="s">
        <v>2</v>
      </c>
      <c r="E1" s="9" t="s">
        <v>3</v>
      </c>
      <c r="F1" s="4" t="s">
        <v>21</v>
      </c>
      <c r="G1" s="7" t="s">
        <v>51</v>
      </c>
      <c r="H1" s="7" t="s">
        <v>52</v>
      </c>
      <c r="I1" s="7" t="s">
        <v>50</v>
      </c>
      <c r="J1" s="4" t="s">
        <v>22</v>
      </c>
    </row>
    <row r="2" spans="1:10" ht="45" customHeight="1" x14ac:dyDescent="0.25">
      <c r="A2" s="5">
        <v>1</v>
      </c>
      <c r="B2" s="5">
        <v>1</v>
      </c>
      <c r="C2" s="10" t="s">
        <v>1</v>
      </c>
      <c r="D2" s="10" t="s">
        <v>1</v>
      </c>
      <c r="E2" s="10" t="s">
        <v>1</v>
      </c>
      <c r="F2" s="5">
        <v>342</v>
      </c>
      <c r="G2" s="5">
        <v>275</v>
      </c>
      <c r="H2" s="5">
        <f>I2-G2</f>
        <v>48</v>
      </c>
      <c r="I2" s="5">
        <v>323</v>
      </c>
      <c r="J2" s="1" t="s">
        <v>35</v>
      </c>
    </row>
    <row r="3" spans="1:10" ht="45" customHeight="1" x14ac:dyDescent="0.25">
      <c r="A3" s="5">
        <v>2</v>
      </c>
      <c r="B3" s="5">
        <v>2</v>
      </c>
      <c r="C3" s="10" t="s">
        <v>1</v>
      </c>
      <c r="D3" s="10" t="s">
        <v>1</v>
      </c>
      <c r="E3" s="10" t="s">
        <v>1</v>
      </c>
      <c r="F3" s="5">
        <v>378</v>
      </c>
      <c r="G3" s="5">
        <v>287</v>
      </c>
      <c r="H3" s="5">
        <f t="shared" ref="H3:H16" si="0">I3-G3</f>
        <v>55</v>
      </c>
      <c r="I3" s="5">
        <v>342</v>
      </c>
      <c r="J3" s="1" t="s">
        <v>29</v>
      </c>
    </row>
    <row r="4" spans="1:10" ht="45" customHeight="1" x14ac:dyDescent="0.25">
      <c r="A4" s="5">
        <v>3</v>
      </c>
      <c r="B4" s="5">
        <v>3</v>
      </c>
      <c r="C4" s="10" t="s">
        <v>1</v>
      </c>
      <c r="D4" s="10" t="s">
        <v>1</v>
      </c>
      <c r="E4" s="10" t="s">
        <v>1</v>
      </c>
      <c r="F4" s="1">
        <v>1802</v>
      </c>
      <c r="G4" s="1">
        <v>1323</v>
      </c>
      <c r="H4" s="5">
        <f t="shared" si="0"/>
        <v>364</v>
      </c>
      <c r="I4" s="1">
        <v>1687</v>
      </c>
      <c r="J4" s="1" t="s">
        <v>35</v>
      </c>
    </row>
    <row r="5" spans="1:10" ht="45" customHeight="1" x14ac:dyDescent="0.25">
      <c r="A5" s="5">
        <v>4</v>
      </c>
      <c r="B5" s="5">
        <v>4</v>
      </c>
      <c r="C5" s="10" t="s">
        <v>1</v>
      </c>
      <c r="D5" s="10" t="s">
        <v>1</v>
      </c>
      <c r="E5" s="10" t="s">
        <v>1</v>
      </c>
      <c r="F5" s="1">
        <v>617</v>
      </c>
      <c r="G5" s="1">
        <v>412</v>
      </c>
      <c r="H5" s="5">
        <f t="shared" si="0"/>
        <v>122</v>
      </c>
      <c r="I5" s="1">
        <v>534</v>
      </c>
      <c r="J5" s="1" t="s">
        <v>35</v>
      </c>
    </row>
    <row r="6" spans="1:10" ht="45" customHeight="1" x14ac:dyDescent="0.25">
      <c r="A6" s="5">
        <v>5</v>
      </c>
      <c r="B6" s="5">
        <v>5</v>
      </c>
      <c r="C6" s="10" t="s">
        <v>1</v>
      </c>
      <c r="D6" s="10" t="s">
        <v>1</v>
      </c>
      <c r="E6" s="10" t="s">
        <v>1</v>
      </c>
      <c r="F6" s="1">
        <v>648</v>
      </c>
      <c r="G6" s="1">
        <v>422</v>
      </c>
      <c r="H6" s="5">
        <f t="shared" si="0"/>
        <v>154</v>
      </c>
      <c r="I6" s="1">
        <v>576</v>
      </c>
      <c r="J6" s="1" t="s">
        <v>35</v>
      </c>
    </row>
    <row r="7" spans="1:10" ht="45" customHeight="1" x14ac:dyDescent="0.25">
      <c r="A7" s="5">
        <v>6</v>
      </c>
      <c r="B7" s="5">
        <v>6</v>
      </c>
      <c r="C7" s="10" t="s">
        <v>1</v>
      </c>
      <c r="D7" s="10" t="s">
        <v>1</v>
      </c>
      <c r="E7" s="10" t="s">
        <v>1</v>
      </c>
      <c r="F7" s="5">
        <v>577</v>
      </c>
      <c r="G7" s="5">
        <v>357</v>
      </c>
      <c r="H7" s="5">
        <f t="shared" si="0"/>
        <v>66</v>
      </c>
      <c r="I7" s="5">
        <v>423</v>
      </c>
      <c r="J7" s="1" t="s">
        <v>49</v>
      </c>
    </row>
    <row r="8" spans="1:10" ht="45" customHeight="1" x14ac:dyDescent="0.25">
      <c r="A8" s="5">
        <v>7</v>
      </c>
      <c r="B8" s="5">
        <v>7</v>
      </c>
      <c r="C8" s="10" t="s">
        <v>1</v>
      </c>
      <c r="D8" s="10" t="s">
        <v>1</v>
      </c>
      <c r="E8" s="10" t="s">
        <v>1</v>
      </c>
      <c r="F8" s="5">
        <v>270</v>
      </c>
      <c r="G8" s="5">
        <v>45</v>
      </c>
      <c r="H8" s="5">
        <f t="shared" si="0"/>
        <v>32</v>
      </c>
      <c r="I8" s="5">
        <v>77</v>
      </c>
      <c r="J8" s="1" t="s">
        <v>49</v>
      </c>
    </row>
    <row r="9" spans="1:10" ht="45" customHeight="1" x14ac:dyDescent="0.25">
      <c r="A9" s="5">
        <v>8</v>
      </c>
      <c r="B9" s="5">
        <v>8</v>
      </c>
      <c r="C9" s="10" t="s">
        <v>1</v>
      </c>
      <c r="D9" s="10" t="s">
        <v>1</v>
      </c>
      <c r="E9" s="10" t="s">
        <v>1</v>
      </c>
      <c r="F9" s="1">
        <v>185</v>
      </c>
      <c r="G9" s="1">
        <v>32</v>
      </c>
      <c r="H9" s="5">
        <f t="shared" si="0"/>
        <v>0</v>
      </c>
      <c r="I9" s="1">
        <v>32</v>
      </c>
      <c r="J9" s="1" t="s">
        <v>49</v>
      </c>
    </row>
    <row r="10" spans="1:10" ht="45" customHeight="1" x14ac:dyDescent="0.25">
      <c r="A10" s="5">
        <v>9</v>
      </c>
      <c r="B10" s="5">
        <v>9</v>
      </c>
      <c r="C10" s="10" t="s">
        <v>1</v>
      </c>
      <c r="D10" s="10" t="s">
        <v>1</v>
      </c>
      <c r="E10" s="10" t="s">
        <v>1</v>
      </c>
      <c r="F10" s="1">
        <v>512</v>
      </c>
      <c r="G10" s="1">
        <v>108</v>
      </c>
      <c r="H10" s="5">
        <f t="shared" si="0"/>
        <v>4</v>
      </c>
      <c r="I10" s="1">
        <v>112</v>
      </c>
      <c r="J10" s="1" t="s">
        <v>49</v>
      </c>
    </row>
    <row r="11" spans="1:10" ht="45" customHeight="1" x14ac:dyDescent="0.25">
      <c r="A11" s="5">
        <v>10</v>
      </c>
      <c r="B11" s="5">
        <v>10</v>
      </c>
      <c r="C11" s="10" t="s">
        <v>1</v>
      </c>
      <c r="D11" s="10" t="s">
        <v>1</v>
      </c>
      <c r="E11" s="10" t="s">
        <v>1</v>
      </c>
      <c r="F11" s="1">
        <v>403</v>
      </c>
      <c r="G11" s="1">
        <v>85</v>
      </c>
      <c r="H11" s="5">
        <f t="shared" si="0"/>
        <v>0</v>
      </c>
      <c r="I11" s="1">
        <v>85</v>
      </c>
      <c r="J11" s="1" t="s">
        <v>49</v>
      </c>
    </row>
    <row r="12" spans="1:10" ht="45" customHeight="1" x14ac:dyDescent="0.25">
      <c r="A12" s="5">
        <v>11</v>
      </c>
      <c r="B12" s="5">
        <v>11</v>
      </c>
      <c r="C12" s="10" t="s">
        <v>1</v>
      </c>
      <c r="D12" s="10" t="s">
        <v>1</v>
      </c>
      <c r="E12" s="10" t="s">
        <v>1</v>
      </c>
      <c r="F12" s="5">
        <v>376</v>
      </c>
      <c r="G12" s="5">
        <v>12</v>
      </c>
      <c r="H12" s="5">
        <f t="shared" si="0"/>
        <v>1</v>
      </c>
      <c r="I12" s="5">
        <v>13</v>
      </c>
      <c r="J12" s="1" t="s">
        <v>49</v>
      </c>
    </row>
    <row r="13" spans="1:10" ht="45" customHeight="1" x14ac:dyDescent="0.25">
      <c r="A13" s="5">
        <v>12</v>
      </c>
      <c r="B13" s="5">
        <v>12</v>
      </c>
      <c r="C13" s="10" t="s">
        <v>1</v>
      </c>
      <c r="D13" s="10" t="s">
        <v>1</v>
      </c>
      <c r="E13" s="10" t="s">
        <v>1</v>
      </c>
      <c r="F13" s="5">
        <v>753</v>
      </c>
      <c r="G13" s="5">
        <v>398</v>
      </c>
      <c r="H13" s="5">
        <f t="shared" si="0"/>
        <v>116</v>
      </c>
      <c r="I13" s="5">
        <v>514</v>
      </c>
      <c r="J13" s="1" t="s">
        <v>49</v>
      </c>
    </row>
    <row r="14" spans="1:10" ht="45" customHeight="1" x14ac:dyDescent="0.25">
      <c r="A14" s="5">
        <v>13</v>
      </c>
      <c r="B14" s="5">
        <v>13</v>
      </c>
      <c r="C14" s="10" t="s">
        <v>1</v>
      </c>
      <c r="D14" s="10" t="s">
        <v>1</v>
      </c>
      <c r="E14" s="10" t="s">
        <v>1</v>
      </c>
      <c r="F14" s="1">
        <v>389</v>
      </c>
      <c r="G14" s="1">
        <v>255</v>
      </c>
      <c r="H14" s="5">
        <f t="shared" si="0"/>
        <v>57</v>
      </c>
      <c r="I14" s="1">
        <v>312</v>
      </c>
      <c r="J14" s="1" t="s">
        <v>49</v>
      </c>
    </row>
    <row r="15" spans="1:10" ht="45" customHeight="1" x14ac:dyDescent="0.25">
      <c r="A15" s="5">
        <v>14</v>
      </c>
      <c r="B15" s="5">
        <v>14</v>
      </c>
      <c r="C15" s="10" t="s">
        <v>1</v>
      </c>
      <c r="D15" s="10" t="s">
        <v>1</v>
      </c>
      <c r="E15" s="10" t="s">
        <v>1</v>
      </c>
      <c r="F15" s="1">
        <v>912</v>
      </c>
      <c r="G15" s="1">
        <v>590</v>
      </c>
      <c r="H15" s="5">
        <f t="shared" si="0"/>
        <v>122</v>
      </c>
      <c r="I15" s="1">
        <v>712</v>
      </c>
      <c r="J15" s="1" t="s">
        <v>49</v>
      </c>
    </row>
    <row r="16" spans="1:10" ht="45" customHeight="1" x14ac:dyDescent="0.25">
      <c r="A16" s="5">
        <v>15</v>
      </c>
      <c r="B16" s="5">
        <v>15</v>
      </c>
      <c r="C16" s="10" t="s">
        <v>1</v>
      </c>
      <c r="D16" s="10" t="s">
        <v>1</v>
      </c>
      <c r="E16" s="10" t="s">
        <v>1</v>
      </c>
      <c r="F16" s="1">
        <v>655</v>
      </c>
      <c r="G16" s="1">
        <v>495</v>
      </c>
      <c r="H16" s="5">
        <f t="shared" si="0"/>
        <v>107</v>
      </c>
      <c r="I16" s="1">
        <v>602</v>
      </c>
      <c r="J16" s="1" t="s">
        <v>29</v>
      </c>
    </row>
  </sheetData>
  <pageMargins left="0.23622047244094491" right="0.23622047244094491" top="0.55118110236220474" bottom="0.55118110236220474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CD67-98D8-431A-8432-7990E8BA1347}">
  <dimension ref="A1:J13"/>
  <sheetViews>
    <sheetView topLeftCell="A4" zoomScale="85" zoomScaleNormal="85" workbookViewId="0">
      <selection activeCell="J13" sqref="J13"/>
    </sheetView>
  </sheetViews>
  <sheetFormatPr defaultRowHeight="13.2" x14ac:dyDescent="0.25"/>
  <cols>
    <col min="1" max="1" width="6.33203125" bestFit="1" customWidth="1"/>
    <col min="2" max="2" width="7.33203125" customWidth="1"/>
    <col min="3" max="3" width="17.77734375" customWidth="1"/>
    <col min="4" max="4" width="14.44140625" customWidth="1"/>
    <col min="5" max="5" width="16.33203125" customWidth="1"/>
    <col min="6" max="8" width="12.88671875" customWidth="1"/>
    <col min="9" max="9" width="9.44140625" customWidth="1"/>
    <col min="10" max="10" width="25.88671875" customWidth="1"/>
  </cols>
  <sheetData>
    <row r="1" spans="1:10" s="8" customFormat="1" ht="49.95" customHeight="1" x14ac:dyDescent="0.25">
      <c r="A1" s="4" t="s">
        <v>26</v>
      </c>
      <c r="B1" s="4" t="s">
        <v>20</v>
      </c>
      <c r="C1" s="9" t="s">
        <v>0</v>
      </c>
      <c r="D1" s="9" t="s">
        <v>2</v>
      </c>
      <c r="E1" s="9" t="s">
        <v>3</v>
      </c>
      <c r="F1" s="4" t="s">
        <v>21</v>
      </c>
      <c r="G1" s="7" t="s">
        <v>51</v>
      </c>
      <c r="H1" s="7" t="s">
        <v>52</v>
      </c>
      <c r="I1" s="7" t="s">
        <v>50</v>
      </c>
      <c r="J1" s="4" t="s">
        <v>22</v>
      </c>
    </row>
    <row r="2" spans="1:10" s="8" customFormat="1" ht="49.95" customHeight="1" x14ac:dyDescent="0.25">
      <c r="A2" s="5">
        <v>1</v>
      </c>
      <c r="B2" s="5">
        <v>1</v>
      </c>
      <c r="C2" s="10" t="s">
        <v>1</v>
      </c>
      <c r="D2" s="10" t="s">
        <v>1</v>
      </c>
      <c r="E2" s="10" t="s">
        <v>1</v>
      </c>
      <c r="F2" s="1">
        <v>705</v>
      </c>
      <c r="G2" s="1">
        <v>512</v>
      </c>
      <c r="H2" s="1">
        <f>I2-G2</f>
        <v>133</v>
      </c>
      <c r="I2" s="1">
        <v>645</v>
      </c>
      <c r="J2" s="1" t="s">
        <v>47</v>
      </c>
    </row>
    <row r="3" spans="1:10" s="8" customFormat="1" ht="49.95" customHeight="1" x14ac:dyDescent="0.25">
      <c r="A3" s="5">
        <v>2</v>
      </c>
      <c r="B3" s="5">
        <v>2</v>
      </c>
      <c r="C3" s="10" t="s">
        <v>1</v>
      </c>
      <c r="D3" s="10" t="s">
        <v>1</v>
      </c>
      <c r="E3" s="10" t="s">
        <v>1</v>
      </c>
      <c r="F3" s="1">
        <v>1382</v>
      </c>
      <c r="G3" s="1">
        <v>992</v>
      </c>
      <c r="H3" s="1">
        <f t="shared" ref="H3:H13" si="0">I3-G3</f>
        <v>197</v>
      </c>
      <c r="I3" s="1">
        <v>1189</v>
      </c>
      <c r="J3" s="1" t="s">
        <v>47</v>
      </c>
    </row>
    <row r="4" spans="1:10" s="8" customFormat="1" ht="49.95" customHeight="1" x14ac:dyDescent="0.25">
      <c r="A4" s="5">
        <v>3</v>
      </c>
      <c r="B4" s="5">
        <v>3</v>
      </c>
      <c r="C4" s="10" t="s">
        <v>1</v>
      </c>
      <c r="D4" s="10" t="s">
        <v>1</v>
      </c>
      <c r="E4" s="10" t="s">
        <v>1</v>
      </c>
      <c r="F4" s="1">
        <v>511</v>
      </c>
      <c r="G4" s="1">
        <v>387</v>
      </c>
      <c r="H4" s="1">
        <f t="shared" si="0"/>
        <v>80</v>
      </c>
      <c r="I4" s="1">
        <v>467</v>
      </c>
      <c r="J4" s="10" t="s">
        <v>30</v>
      </c>
    </row>
    <row r="5" spans="1:10" s="8" customFormat="1" ht="49.95" customHeight="1" x14ac:dyDescent="0.25">
      <c r="A5" s="5">
        <v>4</v>
      </c>
      <c r="B5" s="5">
        <v>4</v>
      </c>
      <c r="C5" s="10" t="s">
        <v>1</v>
      </c>
      <c r="D5" s="10" t="s">
        <v>1</v>
      </c>
      <c r="E5" s="10" t="s">
        <v>1</v>
      </c>
      <c r="F5" s="1">
        <v>362</v>
      </c>
      <c r="G5" s="1">
        <v>256</v>
      </c>
      <c r="H5" s="1">
        <f t="shared" si="0"/>
        <v>58</v>
      </c>
      <c r="I5" s="1">
        <v>314</v>
      </c>
      <c r="J5" s="10" t="s">
        <v>30</v>
      </c>
    </row>
    <row r="6" spans="1:10" s="8" customFormat="1" ht="49.95" customHeight="1" x14ac:dyDescent="0.25">
      <c r="A6" s="5">
        <v>5</v>
      </c>
      <c r="B6" s="5">
        <v>5</v>
      </c>
      <c r="C6" s="10" t="s">
        <v>1</v>
      </c>
      <c r="D6" s="10" t="s">
        <v>1</v>
      </c>
      <c r="E6" s="10" t="s">
        <v>1</v>
      </c>
      <c r="F6" s="1">
        <v>481</v>
      </c>
      <c r="G6" s="1">
        <v>351</v>
      </c>
      <c r="H6" s="1">
        <f t="shared" si="0"/>
        <v>73</v>
      </c>
      <c r="I6" s="1">
        <v>424</v>
      </c>
      <c r="J6" s="10" t="s">
        <v>30</v>
      </c>
    </row>
    <row r="7" spans="1:10" s="8" customFormat="1" ht="49.95" customHeight="1" x14ac:dyDescent="0.25">
      <c r="A7" s="5">
        <v>6</v>
      </c>
      <c r="B7" s="5">
        <v>6</v>
      </c>
      <c r="C7" s="10" t="s">
        <v>1</v>
      </c>
      <c r="D7" s="10" t="s">
        <v>1</v>
      </c>
      <c r="E7" s="10" t="s">
        <v>1</v>
      </c>
      <c r="F7" s="1">
        <v>267</v>
      </c>
      <c r="G7" s="1">
        <v>189</v>
      </c>
      <c r="H7" s="1">
        <f t="shared" si="0"/>
        <v>30</v>
      </c>
      <c r="I7" s="1">
        <v>219</v>
      </c>
      <c r="J7" s="10" t="s">
        <v>30</v>
      </c>
    </row>
    <row r="8" spans="1:10" s="8" customFormat="1" ht="49.95" customHeight="1" x14ac:dyDescent="0.25">
      <c r="A8" s="5">
        <v>7</v>
      </c>
      <c r="B8" s="5">
        <v>7</v>
      </c>
      <c r="C8" s="10" t="s">
        <v>1</v>
      </c>
      <c r="D8" s="10" t="s">
        <v>1</v>
      </c>
      <c r="E8" s="10" t="s">
        <v>1</v>
      </c>
      <c r="F8" s="1">
        <v>625</v>
      </c>
      <c r="G8" s="1">
        <v>498</v>
      </c>
      <c r="H8" s="1">
        <f t="shared" si="0"/>
        <v>112</v>
      </c>
      <c r="I8" s="1">
        <v>610</v>
      </c>
      <c r="J8" s="10" t="s">
        <v>30</v>
      </c>
    </row>
    <row r="9" spans="1:10" s="8" customFormat="1" ht="49.95" customHeight="1" x14ac:dyDescent="0.25">
      <c r="A9" s="5">
        <v>8</v>
      </c>
      <c r="B9" s="5">
        <v>8</v>
      </c>
      <c r="C9" s="10" t="s">
        <v>1</v>
      </c>
      <c r="D9" s="10" t="s">
        <v>1</v>
      </c>
      <c r="E9" s="10" t="s">
        <v>1</v>
      </c>
      <c r="F9" s="1">
        <v>750</v>
      </c>
      <c r="G9" s="1">
        <v>634</v>
      </c>
      <c r="H9" s="1">
        <f t="shared" si="0"/>
        <v>104</v>
      </c>
      <c r="I9" s="1">
        <v>738</v>
      </c>
      <c r="J9" s="1" t="s">
        <v>47</v>
      </c>
    </row>
    <row r="10" spans="1:10" s="8" customFormat="1" ht="49.95" customHeight="1" x14ac:dyDescent="0.25">
      <c r="A10" s="5">
        <v>9</v>
      </c>
      <c r="B10" s="5">
        <v>9</v>
      </c>
      <c r="C10" s="10" t="s">
        <v>1</v>
      </c>
      <c r="D10" s="10" t="s">
        <v>1</v>
      </c>
      <c r="E10" s="10" t="s">
        <v>1</v>
      </c>
      <c r="F10" s="1">
        <v>695</v>
      </c>
      <c r="G10" s="1">
        <v>584</v>
      </c>
      <c r="H10" s="1">
        <f t="shared" si="0"/>
        <v>95</v>
      </c>
      <c r="I10" s="1">
        <v>679</v>
      </c>
      <c r="J10" s="10" t="s">
        <v>30</v>
      </c>
    </row>
    <row r="11" spans="1:10" s="8" customFormat="1" ht="49.95" customHeight="1" x14ac:dyDescent="0.25">
      <c r="A11" s="5">
        <v>10</v>
      </c>
      <c r="B11" s="5">
        <v>10</v>
      </c>
      <c r="C11" s="10" t="s">
        <v>1</v>
      </c>
      <c r="D11" s="10" t="s">
        <v>1</v>
      </c>
      <c r="E11" s="10" t="s">
        <v>1</v>
      </c>
      <c r="F11" s="1">
        <v>460</v>
      </c>
      <c r="G11" s="1">
        <v>395</v>
      </c>
      <c r="H11" s="1">
        <f t="shared" si="0"/>
        <v>80</v>
      </c>
      <c r="I11" s="1">
        <v>475</v>
      </c>
      <c r="J11" s="10" t="s">
        <v>30</v>
      </c>
    </row>
    <row r="12" spans="1:10" s="8" customFormat="1" ht="49.95" customHeight="1" x14ac:dyDescent="0.25">
      <c r="A12" s="5">
        <v>11</v>
      </c>
      <c r="B12" s="5">
        <v>11</v>
      </c>
      <c r="C12" s="10" t="s">
        <v>1</v>
      </c>
      <c r="D12" s="10" t="s">
        <v>1</v>
      </c>
      <c r="E12" s="10" t="s">
        <v>1</v>
      </c>
      <c r="F12" s="1">
        <v>604</v>
      </c>
      <c r="G12" s="1">
        <v>443</v>
      </c>
      <c r="H12" s="1">
        <f t="shared" si="0"/>
        <v>121</v>
      </c>
      <c r="I12" s="1">
        <v>564</v>
      </c>
      <c r="J12" s="10" t="s">
        <v>30</v>
      </c>
    </row>
    <row r="13" spans="1:10" s="8" customFormat="1" ht="49.95" customHeight="1" x14ac:dyDescent="0.25">
      <c r="A13" s="5">
        <v>12</v>
      </c>
      <c r="B13" s="5">
        <v>12</v>
      </c>
      <c r="C13" s="10" t="s">
        <v>1</v>
      </c>
      <c r="D13" s="10" t="s">
        <v>1</v>
      </c>
      <c r="E13" s="10" t="s">
        <v>1</v>
      </c>
      <c r="F13" s="1">
        <v>317</v>
      </c>
      <c r="G13" s="1">
        <v>240</v>
      </c>
      <c r="H13" s="1">
        <f t="shared" si="0"/>
        <v>52</v>
      </c>
      <c r="I13" s="1">
        <v>292</v>
      </c>
      <c r="J13" s="10" t="s">
        <v>30</v>
      </c>
    </row>
  </sheetData>
  <pageMargins left="0.25" right="0.25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F7A8D-8195-420F-8F71-A4B397662899}">
  <dimension ref="A1:M15"/>
  <sheetViews>
    <sheetView topLeftCell="A5" zoomScale="85" zoomScaleNormal="85" workbookViewId="0">
      <selection activeCell="J15" sqref="J15"/>
    </sheetView>
  </sheetViews>
  <sheetFormatPr defaultRowHeight="40.049999999999997" customHeight="1" x14ac:dyDescent="0.25"/>
  <cols>
    <col min="1" max="1" width="5.88671875" customWidth="1"/>
    <col min="2" max="2" width="7.88671875" customWidth="1"/>
    <col min="3" max="3" width="18" customWidth="1"/>
    <col min="4" max="4" width="14" customWidth="1"/>
    <col min="5" max="5" width="16" customWidth="1"/>
    <col min="6" max="8" width="12.44140625" customWidth="1"/>
    <col min="9" max="9" width="9.109375" customWidth="1"/>
    <col min="10" max="10" width="25.6640625" style="21" customWidth="1"/>
  </cols>
  <sheetData>
    <row r="1" spans="1:13" ht="45" customHeight="1" x14ac:dyDescent="0.25">
      <c r="A1" s="4" t="s">
        <v>26</v>
      </c>
      <c r="B1" s="4" t="s">
        <v>20</v>
      </c>
      <c r="C1" s="9" t="s">
        <v>0</v>
      </c>
      <c r="D1" s="9" t="s">
        <v>2</v>
      </c>
      <c r="E1" s="9" t="s">
        <v>3</v>
      </c>
      <c r="F1" s="4" t="s">
        <v>21</v>
      </c>
      <c r="G1" s="7" t="s">
        <v>51</v>
      </c>
      <c r="H1" s="7" t="s">
        <v>52</v>
      </c>
      <c r="I1" s="7" t="s">
        <v>50</v>
      </c>
      <c r="J1" s="7" t="s">
        <v>22</v>
      </c>
    </row>
    <row r="2" spans="1:13" ht="45" customHeight="1" x14ac:dyDescent="0.25">
      <c r="A2" s="5">
        <v>1</v>
      </c>
      <c r="B2" s="5">
        <v>1</v>
      </c>
      <c r="C2" s="10" t="s">
        <v>1</v>
      </c>
      <c r="D2" s="10" t="s">
        <v>1</v>
      </c>
      <c r="E2" s="10" t="s">
        <v>1</v>
      </c>
      <c r="F2" s="5">
        <v>550</v>
      </c>
      <c r="G2" s="5">
        <v>402</v>
      </c>
      <c r="H2" s="5">
        <f>I2-G2</f>
        <v>91</v>
      </c>
      <c r="I2" s="1">
        <v>493</v>
      </c>
      <c r="J2" s="10" t="s">
        <v>30</v>
      </c>
    </row>
    <row r="3" spans="1:13" ht="45" customHeight="1" x14ac:dyDescent="0.25">
      <c r="A3" s="5">
        <v>2</v>
      </c>
      <c r="B3" s="5">
        <v>2</v>
      </c>
      <c r="C3" s="10" t="s">
        <v>1</v>
      </c>
      <c r="D3" s="10" t="s">
        <v>1</v>
      </c>
      <c r="E3" s="10" t="s">
        <v>1</v>
      </c>
      <c r="F3" s="5">
        <v>746</v>
      </c>
      <c r="G3" s="5">
        <v>541</v>
      </c>
      <c r="H3" s="5">
        <f t="shared" ref="H3:H15" si="0">I3-G3</f>
        <v>113</v>
      </c>
      <c r="I3" s="1">
        <v>654</v>
      </c>
      <c r="J3" s="1" t="s">
        <v>48</v>
      </c>
    </row>
    <row r="4" spans="1:13" ht="45" customHeight="1" x14ac:dyDescent="0.25">
      <c r="A4" s="5">
        <v>3</v>
      </c>
      <c r="B4" s="5">
        <v>3</v>
      </c>
      <c r="C4" s="10" t="s">
        <v>1</v>
      </c>
      <c r="D4" s="10" t="s">
        <v>1</v>
      </c>
      <c r="E4" s="10" t="s">
        <v>1</v>
      </c>
      <c r="F4" s="5">
        <v>377</v>
      </c>
      <c r="G4" s="5">
        <v>293</v>
      </c>
      <c r="H4" s="5">
        <f t="shared" si="0"/>
        <v>70</v>
      </c>
      <c r="I4" s="1">
        <v>363</v>
      </c>
      <c r="J4" s="10" t="s">
        <v>30</v>
      </c>
    </row>
    <row r="5" spans="1:13" ht="45" customHeight="1" x14ac:dyDescent="0.25">
      <c r="A5" s="5">
        <v>4</v>
      </c>
      <c r="B5" s="5">
        <v>4</v>
      </c>
      <c r="C5" s="10" t="s">
        <v>1</v>
      </c>
      <c r="D5" s="10" t="s">
        <v>1</v>
      </c>
      <c r="E5" s="10" t="s">
        <v>1</v>
      </c>
      <c r="F5" s="5">
        <v>635</v>
      </c>
      <c r="G5" s="5">
        <v>476</v>
      </c>
      <c r="H5" s="5">
        <f t="shared" si="0"/>
        <v>117</v>
      </c>
      <c r="I5" s="1">
        <v>593</v>
      </c>
      <c r="J5" s="1" t="s">
        <v>48</v>
      </c>
    </row>
    <row r="6" spans="1:13" ht="45" customHeight="1" x14ac:dyDescent="0.25">
      <c r="A6" s="5">
        <v>5</v>
      </c>
      <c r="B6" s="5">
        <v>5</v>
      </c>
      <c r="C6" s="10" t="s">
        <v>1</v>
      </c>
      <c r="D6" s="10" t="s">
        <v>1</v>
      </c>
      <c r="E6" s="10" t="s">
        <v>1</v>
      </c>
      <c r="F6" s="5">
        <v>648</v>
      </c>
      <c r="G6" s="5">
        <v>512</v>
      </c>
      <c r="H6" s="5">
        <f t="shared" si="0"/>
        <v>111</v>
      </c>
      <c r="I6" s="1">
        <v>623</v>
      </c>
      <c r="J6" s="1" t="s">
        <v>48</v>
      </c>
      <c r="M6" s="23" t="s">
        <v>36</v>
      </c>
    </row>
    <row r="7" spans="1:13" ht="45" customHeight="1" x14ac:dyDescent="0.25">
      <c r="A7" s="5">
        <v>6</v>
      </c>
      <c r="B7" s="5">
        <v>6</v>
      </c>
      <c r="C7" s="10" t="s">
        <v>1</v>
      </c>
      <c r="D7" s="10" t="s">
        <v>1</v>
      </c>
      <c r="E7" s="10" t="s">
        <v>1</v>
      </c>
      <c r="F7" s="5">
        <v>412</v>
      </c>
      <c r="G7" s="5">
        <v>345</v>
      </c>
      <c r="H7" s="5">
        <f t="shared" si="0"/>
        <v>87</v>
      </c>
      <c r="I7" s="1">
        <v>432</v>
      </c>
      <c r="J7" s="10" t="s">
        <v>30</v>
      </c>
    </row>
    <row r="8" spans="1:13" ht="45" customHeight="1" x14ac:dyDescent="0.25">
      <c r="A8" s="5">
        <v>7</v>
      </c>
      <c r="B8" s="5">
        <v>7</v>
      </c>
      <c r="C8" s="10" t="s">
        <v>1</v>
      </c>
      <c r="D8" s="10" t="s">
        <v>1</v>
      </c>
      <c r="E8" s="10" t="s">
        <v>1</v>
      </c>
      <c r="F8" s="5">
        <v>739</v>
      </c>
      <c r="G8" s="5">
        <v>520</v>
      </c>
      <c r="H8" s="5">
        <f t="shared" si="0"/>
        <v>97</v>
      </c>
      <c r="I8" s="1">
        <v>617</v>
      </c>
      <c r="J8" s="10" t="s">
        <v>30</v>
      </c>
    </row>
    <row r="9" spans="1:13" ht="45" customHeight="1" x14ac:dyDescent="0.25">
      <c r="A9" s="5">
        <v>8</v>
      </c>
      <c r="B9" s="5">
        <v>8</v>
      </c>
      <c r="C9" s="10" t="s">
        <v>1</v>
      </c>
      <c r="D9" s="10" t="s">
        <v>1</v>
      </c>
      <c r="E9" s="10" t="s">
        <v>1</v>
      </c>
      <c r="F9" s="5">
        <v>674</v>
      </c>
      <c r="G9" s="5">
        <v>489</v>
      </c>
      <c r="H9" s="5">
        <f t="shared" si="0"/>
        <v>112</v>
      </c>
      <c r="I9" s="1">
        <v>601</v>
      </c>
      <c r="J9" s="1" t="s">
        <v>48</v>
      </c>
    </row>
    <row r="10" spans="1:13" ht="45" customHeight="1" x14ac:dyDescent="0.25">
      <c r="A10" s="5">
        <v>9</v>
      </c>
      <c r="B10" s="5">
        <v>9</v>
      </c>
      <c r="C10" s="10" t="s">
        <v>1</v>
      </c>
      <c r="D10" s="10" t="s">
        <v>1</v>
      </c>
      <c r="E10" s="10" t="s">
        <v>1</v>
      </c>
      <c r="F10" s="5">
        <v>518</v>
      </c>
      <c r="G10" s="5">
        <v>412</v>
      </c>
      <c r="H10" s="5">
        <f t="shared" si="0"/>
        <v>77</v>
      </c>
      <c r="I10" s="1">
        <v>489</v>
      </c>
      <c r="J10" s="1" t="s">
        <v>48</v>
      </c>
    </row>
    <row r="11" spans="1:13" ht="45" customHeight="1" x14ac:dyDescent="0.25">
      <c r="A11" s="5">
        <v>10</v>
      </c>
      <c r="B11" s="5">
        <v>10</v>
      </c>
      <c r="C11" s="10" t="s">
        <v>1</v>
      </c>
      <c r="D11" s="10" t="s">
        <v>1</v>
      </c>
      <c r="E11" s="10" t="s">
        <v>1</v>
      </c>
      <c r="F11" s="5">
        <v>376</v>
      </c>
      <c r="G11" s="5">
        <v>188</v>
      </c>
      <c r="H11" s="5">
        <f t="shared" si="0"/>
        <v>24</v>
      </c>
      <c r="I11" s="1">
        <v>212</v>
      </c>
      <c r="J11" s="1" t="s">
        <v>48</v>
      </c>
    </row>
    <row r="12" spans="1:13" ht="45" customHeight="1" x14ac:dyDescent="0.25">
      <c r="A12" s="5">
        <v>11</v>
      </c>
      <c r="B12" s="5">
        <v>11</v>
      </c>
      <c r="C12" s="10" t="s">
        <v>1</v>
      </c>
      <c r="D12" s="10" t="s">
        <v>1</v>
      </c>
      <c r="E12" s="10" t="s">
        <v>1</v>
      </c>
      <c r="F12" s="5">
        <v>238</v>
      </c>
      <c r="G12" s="5">
        <v>200</v>
      </c>
      <c r="H12" s="5">
        <f t="shared" si="0"/>
        <v>37</v>
      </c>
      <c r="I12" s="1">
        <v>237</v>
      </c>
      <c r="J12" s="10" t="s">
        <v>30</v>
      </c>
    </row>
    <row r="13" spans="1:13" ht="45" customHeight="1" x14ac:dyDescent="0.25">
      <c r="A13" s="5">
        <v>12</v>
      </c>
      <c r="B13" s="5">
        <v>12</v>
      </c>
      <c r="C13" s="10" t="s">
        <v>1</v>
      </c>
      <c r="D13" s="10" t="s">
        <v>1</v>
      </c>
      <c r="E13" s="10" t="s">
        <v>1</v>
      </c>
      <c r="F13" s="5">
        <v>318</v>
      </c>
      <c r="G13" s="5">
        <v>180</v>
      </c>
      <c r="H13" s="5">
        <f t="shared" si="0"/>
        <v>21</v>
      </c>
      <c r="I13" s="1">
        <v>201</v>
      </c>
      <c r="J13" s="1" t="s">
        <v>48</v>
      </c>
    </row>
    <row r="14" spans="1:13" ht="45" customHeight="1" x14ac:dyDescent="0.25">
      <c r="A14" s="5">
        <v>13</v>
      </c>
      <c r="B14" s="5">
        <v>13</v>
      </c>
      <c r="C14" s="10" t="s">
        <v>1</v>
      </c>
      <c r="D14" s="10" t="s">
        <v>1</v>
      </c>
      <c r="E14" s="10" t="s">
        <v>1</v>
      </c>
      <c r="F14" s="5">
        <v>1124</v>
      </c>
      <c r="G14" s="5">
        <v>865</v>
      </c>
      <c r="H14" s="5">
        <f t="shared" si="0"/>
        <v>156</v>
      </c>
      <c r="I14" s="1">
        <v>1021</v>
      </c>
      <c r="J14" s="1" t="s">
        <v>48</v>
      </c>
    </row>
    <row r="15" spans="1:13" ht="45" customHeight="1" x14ac:dyDescent="0.25">
      <c r="A15" s="5">
        <v>14</v>
      </c>
      <c r="B15" s="5">
        <v>14</v>
      </c>
      <c r="C15" s="10" t="s">
        <v>1</v>
      </c>
      <c r="D15" s="10" t="s">
        <v>1</v>
      </c>
      <c r="E15" s="10" t="s">
        <v>1</v>
      </c>
      <c r="F15" s="5">
        <v>358</v>
      </c>
      <c r="G15" s="5">
        <v>276</v>
      </c>
      <c r="H15" s="5">
        <f t="shared" si="0"/>
        <v>56</v>
      </c>
      <c r="I15" s="1">
        <v>332</v>
      </c>
      <c r="J15" s="10" t="s">
        <v>30</v>
      </c>
    </row>
  </sheetData>
  <pageMargins left="0.23622047244094491" right="0.23622047244094491" top="0.55118110236220474" bottom="0.5511811023622047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South Goa</vt:lpstr>
      <vt:lpstr>Mormugao</vt:lpstr>
      <vt:lpstr>Ponda</vt:lpstr>
      <vt:lpstr>Quepem</vt:lpstr>
      <vt:lpstr>Margao</vt:lpstr>
      <vt:lpstr>Sanguem</vt:lpstr>
      <vt:lpstr>Curchorem-Cacora</vt:lpstr>
      <vt:lpstr>Canacona</vt:lpstr>
      <vt:lpstr>Cuncolim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WORK_REPORT.xlsx</dc:title>
  <dc:creator>trivek bisen</dc:creator>
  <cp:lastModifiedBy>trivek bisen</cp:lastModifiedBy>
  <cp:lastPrinted>2025-12-05T05:20:20Z</cp:lastPrinted>
  <dcterms:created xsi:type="dcterms:W3CDTF">2025-01-12T16:29:17Z</dcterms:created>
  <dcterms:modified xsi:type="dcterms:W3CDTF">2025-12-30T02:37:48Z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2024-12-17T00:00:00Z</vt:filetime>
  </property>
  <property fmtid="{D5CDD505-2E9C-101B-9397-08002B2CF9AE}" pid="3" name="LastSaved">
    <vt:filetime>2025-01-12T00:00:00Z</vt:filetime>
  </property>
  <property fmtid="{D5CDD505-2E9C-101B-9397-08002B2CF9AE}" pid="4" name="Producer">
    <vt:lpwstr>Microsoft: Print To PDF</vt:lpwstr>
  </property>
</Properties>
</file>